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mmary" sheetId="1" state="visible" r:id="rId1"/>
    <sheet xmlns:r="http://schemas.openxmlformats.org/officeDocument/2006/relationships" name="Login" sheetId="2" state="visible" r:id="rId2"/>
    <sheet xmlns:r="http://schemas.openxmlformats.org/officeDocument/2006/relationships" name="Header" sheetId="3" state="visible" r:id="rId3"/>
    <sheet xmlns:r="http://schemas.openxmlformats.org/officeDocument/2006/relationships" name="Footer" sheetId="4" state="visible" r:id="rId4"/>
    <sheet xmlns:r="http://schemas.openxmlformats.org/officeDocument/2006/relationships" name="Products" sheetId="5" state="visible" r:id="rId5"/>
    <sheet xmlns:r="http://schemas.openxmlformats.org/officeDocument/2006/relationships" name="Product Description" sheetId="6" state="visible" r:id="rId6"/>
    <sheet xmlns:r="http://schemas.openxmlformats.org/officeDocument/2006/relationships" name="Cart" sheetId="7" state="visible" r:id="rId7"/>
    <sheet xmlns:r="http://schemas.openxmlformats.org/officeDocument/2006/relationships" name="Checkout Step 1" sheetId="8" state="visible" r:id="rId8"/>
    <sheet xmlns:r="http://schemas.openxmlformats.org/officeDocument/2006/relationships" name="Checkout Step 2" sheetId="9" state="visible" r:id="rId9"/>
    <sheet xmlns:r="http://schemas.openxmlformats.org/officeDocument/2006/relationships" name="Checkout Complete" sheetId="10" state="visible" r:id="rId10"/>
    <sheet xmlns:r="http://schemas.openxmlformats.org/officeDocument/2006/relationships" name="About" sheetId="11" state="visible" r:id="rId11"/>
    <sheet xmlns:r="http://schemas.openxmlformats.org/officeDocument/2006/relationships" name="Logout" sheetId="12" state="visible" r:id="rId12"/>
    <sheet xmlns:r="http://schemas.openxmlformats.org/officeDocument/2006/relationships" name="Security" sheetId="13" state="visible" r:id="rId13"/>
    <sheet xmlns:r="http://schemas.openxmlformats.org/officeDocument/2006/relationships" name="Reset App State" sheetId="14" state="visible" r:id="rId14"/>
    <sheet xmlns:r="http://schemas.openxmlformats.org/officeDocument/2006/relationships" name="End-to-End" sheetId="15" state="visible" r:id="rId15"/>
    <sheet xmlns:r="http://schemas.openxmlformats.org/officeDocument/2006/relationships" name="User Personas" sheetId="16" state="visible" r:id="rId16"/>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color rgb="FFFFFFFF"/>
      <sz val="10"/>
    </font>
    <font>
      <name val="Arial"/>
      <charset val="1"/>
      <family val="0"/>
      <sz val="10"/>
    </font>
    <font>
      <name val="Arial"/>
      <charset val="1"/>
      <family val="0"/>
      <b val="1"/>
      <sz val="11"/>
    </font>
    <font>
      <name val="Arial"/>
      <charset val="1"/>
      <family val="0"/>
      <color rgb="FF276221"/>
      <sz val="10"/>
    </font>
    <font>
      <name val="Arial"/>
      <charset val="1"/>
      <family val="0"/>
      <color rgb="FF9C0006"/>
      <sz val="10"/>
    </font>
    <font>
      <name val="Arial"/>
      <charset val="1"/>
      <family val="0"/>
      <color rgb="FF9C5700"/>
      <sz val="10"/>
    </font>
  </fonts>
  <fills count="6">
    <fill>
      <patternFill/>
    </fill>
    <fill>
      <patternFill patternType="gray125"/>
    </fill>
    <fill>
      <patternFill patternType="solid">
        <fgColor rgb="FF1F4E78"/>
        <bgColor rgb="FF003366"/>
      </patternFill>
    </fill>
    <fill>
      <patternFill patternType="solid">
        <fgColor rgb="FFC6EFCE"/>
        <bgColor rgb="FFCCFFFF"/>
      </patternFill>
    </fill>
    <fill>
      <patternFill patternType="solid">
        <fgColor rgb="FFFFC7CE"/>
        <bgColor rgb="FFFFEB9C"/>
      </patternFill>
    </fill>
    <fill>
      <patternFill patternType="solid">
        <fgColor rgb="FFFFEB9C"/>
        <bgColor rgb="FFFFFF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6" fillId="0" borderId="1" applyAlignment="1" pivotButton="0" quotePrefix="0" xfId="0">
      <alignment horizontal="general" vertical="bottom"/>
    </xf>
    <xf numFmtId="0" fontId="7" fillId="0" borderId="0" applyAlignment="1" pivotButton="0" quotePrefix="0" xfId="0">
      <alignment horizontal="general" vertical="bottom"/>
    </xf>
    <xf numFmtId="0" fontId="6" fillId="0" borderId="0" applyAlignment="1" pivotButton="0" quotePrefix="0" xfId="0">
      <alignment horizontal="general" vertical="bottom"/>
    </xf>
    <xf numFmtId="0" fontId="6" fillId="0" borderId="1" applyAlignment="1" pivotButton="0" quotePrefix="0" xfId="0">
      <alignment horizontal="general" vertical="top" wrapText="1"/>
    </xf>
    <xf numFmtId="0" fontId="8" fillId="3" borderId="1" applyAlignment="1" pivotButton="0" quotePrefix="0" xfId="0">
      <alignment horizontal="general" vertical="top" wrapText="1"/>
    </xf>
    <xf numFmtId="0" fontId="9" fillId="4" borderId="1" applyAlignment="1" pivotButton="0" quotePrefix="0" xfId="0">
      <alignment horizontal="general" vertical="top" wrapText="1"/>
    </xf>
    <xf numFmtId="0" fontId="10" fillId="5"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6" fillId="0" borderId="1" applyAlignment="1" pivotButton="0" quotePrefix="0" xfId="0">
      <alignment horizontal="general" vertical="bottom"/>
    </xf>
    <xf numFmtId="0" fontId="7" fillId="0" borderId="0" applyAlignment="1" pivotButton="0" quotePrefix="0" xfId="0">
      <alignment horizontal="general" vertical="bottom"/>
    </xf>
    <xf numFmtId="0" fontId="6" fillId="0" borderId="0" applyAlignment="1" pivotButton="0" quotePrefix="0" xfId="0">
      <alignment horizontal="general" vertical="bottom"/>
    </xf>
    <xf numFmtId="0" fontId="6" fillId="0" borderId="1" applyAlignment="1" pivotButton="0" quotePrefix="0" xfId="0">
      <alignment horizontal="general" vertical="top" wrapText="1"/>
    </xf>
    <xf numFmtId="0" fontId="8" fillId="3" borderId="1" applyAlignment="1" pivotButton="0" quotePrefix="0" xfId="0">
      <alignment horizontal="general" vertical="top" wrapText="1"/>
    </xf>
    <xf numFmtId="0" fontId="9" fillId="4" borderId="1" applyAlignment="1" pivotButton="0" quotePrefix="0" xfId="0">
      <alignment horizontal="general" vertical="top" wrapText="1"/>
    </xf>
    <xf numFmtId="0" fontId="10" fillId="5"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9C0006"/>
      <rgbColor rgb="FF276221"/>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C57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D4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1" min="1" max="1"/>
    <col width="16" customWidth="1" style="11" min="2" max="2"/>
  </cols>
  <sheetData>
    <row r="1" ht="17.25" customHeight="1" s="12">
      <c r="A1" s="13" t="inlineStr">
        <is>
          <t>SauceDemo Test Suite - Summary</t>
        </is>
      </c>
    </row>
    <row r="2"/>
    <row r="3" ht="15" customHeight="1" s="12">
      <c r="A3" s="14" t="inlineStr">
        <is>
          <t>Module</t>
        </is>
      </c>
      <c r="B3" s="14" t="inlineStr">
        <is>
          <t>Total Cases</t>
        </is>
      </c>
    </row>
    <row r="4" ht="15" customHeight="1" s="12">
      <c r="A4" s="15" t="inlineStr">
        <is>
          <t>Login</t>
        </is>
      </c>
      <c r="B4" s="15">
        <f>COUNTA(Login!A2:A1000)</f>
        <v/>
      </c>
    </row>
    <row r="5" ht="15" customHeight="1" s="12">
      <c r="A5" s="15" t="inlineStr">
        <is>
          <t>Header</t>
        </is>
      </c>
      <c r="B5" s="15">
        <f>COUNTA(Header!A2:A1000)</f>
        <v/>
      </c>
    </row>
    <row r="6" ht="15" customHeight="1" s="12">
      <c r="A6" s="15" t="inlineStr">
        <is>
          <t>Footer</t>
        </is>
      </c>
      <c r="B6" s="15">
        <f>COUNTA(Footer!A2:A1000)</f>
        <v/>
      </c>
    </row>
    <row r="7" ht="15" customHeight="1" s="12">
      <c r="A7" s="15" t="inlineStr">
        <is>
          <t>Products</t>
        </is>
      </c>
      <c r="B7" s="15">
        <f>COUNTA(Products!A2:A1000)</f>
        <v/>
      </c>
    </row>
    <row r="8" ht="15" customHeight="1" s="12">
      <c r="A8" s="15" t="inlineStr">
        <is>
          <t>Product Description</t>
        </is>
      </c>
      <c r="B8" s="15">
        <f>COUNTA('Product Description'!A2:A1000)</f>
        <v/>
      </c>
    </row>
    <row r="9" ht="15" customHeight="1" s="12">
      <c r="A9" s="15" t="inlineStr">
        <is>
          <t>Cart</t>
        </is>
      </c>
      <c r="B9" s="15">
        <f>COUNTA(Cart!A2:A1000)</f>
        <v/>
      </c>
    </row>
    <row r="10" ht="15" customHeight="1" s="12">
      <c r="A10" s="15" t="inlineStr">
        <is>
          <t>Checkout Step 1</t>
        </is>
      </c>
      <c r="B10" s="15">
        <f>COUNTA('Checkout Step 1'!A2:A1000)</f>
        <v/>
      </c>
    </row>
    <row r="11" ht="15" customHeight="1" s="12">
      <c r="A11" s="15" t="inlineStr">
        <is>
          <t>Checkout Step 2</t>
        </is>
      </c>
      <c r="B11" s="15">
        <f>COUNTA('Checkout Step 2'!A2:A1000)</f>
        <v/>
      </c>
    </row>
    <row r="12" ht="15" customHeight="1" s="12">
      <c r="A12" s="15" t="inlineStr">
        <is>
          <t>Checkout Complete</t>
        </is>
      </c>
      <c r="B12" s="15">
        <f>COUNTA('Checkout Complete'!A2:A1000)</f>
        <v/>
      </c>
    </row>
    <row r="13" ht="15" customHeight="1" s="12">
      <c r="A13" s="15" t="inlineStr">
        <is>
          <t>About</t>
        </is>
      </c>
      <c r="B13" s="15">
        <f>COUNTA(About!A2:A1000)</f>
        <v/>
      </c>
    </row>
    <row r="14" ht="15" customHeight="1" s="12">
      <c r="A14" s="15" t="inlineStr">
        <is>
          <t>Logout</t>
        </is>
      </c>
      <c r="B14" s="15">
        <f>COUNTA(Logout!A2:A1000)</f>
        <v/>
      </c>
    </row>
    <row r="15" ht="15" customHeight="1" s="12">
      <c r="A15" s="15" t="inlineStr">
        <is>
          <t>Security</t>
        </is>
      </c>
      <c r="B15" s="15">
        <f>COUNTA(Security!A2:A1000)</f>
        <v/>
      </c>
    </row>
    <row r="16" ht="15" customHeight="1" s="12">
      <c r="A16" s="15" t="inlineStr">
        <is>
          <t>Reset App State</t>
        </is>
      </c>
      <c r="B16" s="15">
        <f>COUNTA('Reset App State'!A2:A1000)</f>
        <v/>
      </c>
    </row>
    <row r="17" ht="15" customHeight="1" s="12">
      <c r="A17" s="15" t="inlineStr">
        <is>
          <t>End-to-End</t>
        </is>
      </c>
      <c r="B17" s="15">
        <f>COUNTA('End-to-End'!A2:A1000)</f>
        <v/>
      </c>
    </row>
    <row r="18" ht="15" customHeight="1" s="12">
      <c r="A18" s="16" t="inlineStr">
        <is>
          <t>TOTAL</t>
        </is>
      </c>
      <c r="B18" s="16">
        <f>SUM(B4:B17)</f>
        <v/>
      </c>
    </row>
    <row r="19"/>
    <row r="20" ht="15" customHeight="1" s="12">
      <c r="A20" s="16" t="inlineStr">
        <is>
          <t>By Scenario Type</t>
        </is>
      </c>
    </row>
    <row r="21" ht="15" customHeight="1" s="12">
      <c r="A21" s="17" t="inlineStr">
        <is>
          <t>Positive</t>
        </is>
      </c>
      <c r="B21" s="17">
        <f>COUNTIF(Login!C:C,"Positive")+COUNTIF(Header!C:C,"Positive")+COUNTIF(Footer!C:C,"Positive")+COUNTIF(Products!C:C,"Positive")+COUNTIF('Product Description'!C:C,"Positive")+COUNTIF(Cart!C:C,"Positive")+COUNTIF('Checkout Step 1'!C:C,"Positive")+COUNTIF('Checkout Step 2'!C:C,"Positive")+COUNTIF('Checkout Complete'!C:C,"Positive")+COUNTIF(About!C:C,"Positive")+COUNTIF(Logout!C:C,"Positive")+COUNTIF(Security!C:C,"Positive")+COUNTIF('Reset App State'!C:C,"Positive")+COUNTIF('End-to-End'!C:C,"Positive")</f>
        <v/>
      </c>
    </row>
    <row r="22" ht="15" customHeight="1" s="12">
      <c r="A22" s="17" t="inlineStr">
        <is>
          <t>Negative</t>
        </is>
      </c>
      <c r="B22" s="17">
        <f>COUNTIF(Login!C:C,"Negative")+COUNTIF(Header!C:C,"Negative")+COUNTIF(Footer!C:C,"Negative")+COUNTIF(Products!C:C,"Negative")+COUNTIF('Product Description'!C:C,"Negative")+COUNTIF(Cart!C:C,"Negative")+COUNTIF('Checkout Step 1'!C:C,"Negative")+COUNTIF('Checkout Step 2'!C:C,"Negative")+COUNTIF('Checkout Complete'!C:C,"Negative")+COUNTIF(About!C:C,"Negative")+COUNTIF(Logout!C:C,"Negative")+COUNTIF(Security!C:C,"Negative")+COUNTIF('Reset App State'!C:C,"Negative")+COUNTIF('End-to-End'!C:C,"Negative")</f>
        <v/>
      </c>
    </row>
    <row r="23" ht="15" customHeight="1" s="12">
      <c r="A23" s="17" t="inlineStr">
        <is>
          <t>End-to-End</t>
        </is>
      </c>
      <c r="B23" s="17">
        <f>COUNTIF(Login!C:C,"End-to-End")+COUNTIF(Header!C:C,"End-to-End")+COUNTIF(Footer!C:C,"End-to-End")+COUNTIF(Products!C:C,"End-to-End")+COUNTIF('Product Description'!C:C,"End-to-End")+COUNTIF(Cart!C:C,"End-to-End")+COUNTIF('Checkout Step 1'!C:C,"End-to-End")+COUNTIF('Checkout Step 2'!C:C,"End-to-End")+COUNTIF('Checkout Complete'!C:C,"End-to-End")+COUNTIF(About!C:C,"End-to-End")+COUNTIF(Logout!C:C,"End-to-End")+COUNTIF(Security!C:C,"End-to-End")+COUNTIF('Reset App State'!C:C,"End-to-End")+COUNTIF('End-to-End'!C:C,"End-to-End")</f>
        <v/>
      </c>
    </row>
    <row r="24"/>
    <row r="25" ht="15" customHeight="1" s="12">
      <c r="A25" s="16" t="inlineStr">
        <is>
          <t>By Severity</t>
        </is>
      </c>
    </row>
    <row r="26" ht="15" customHeight="1" s="12">
      <c r="A26" s="17" t="inlineStr">
        <is>
          <t>Critical</t>
        </is>
      </c>
      <c r="B26" s="17">
        <f>COUNTIF(Login!F:F,"Critical")+COUNTIF(Header!F:F,"Critical")+COUNTIF(Footer!F:F,"Critical")+COUNTIF(Products!F:F,"Critical")+COUNTIF('Product Description'!F:F,"Critical")+COUNTIF(Cart!F:F,"Critical")+COUNTIF('Checkout Step 1'!F:F,"Critical")+COUNTIF('Checkout Step 2'!F:F,"Critical")+COUNTIF('Checkout Complete'!F:F,"Critical")+COUNTIF(About!F:F,"Critical")+COUNTIF(Logout!F:F,"Critical")+COUNTIF(Security!F:F,"Critical")+COUNTIF('Reset App State'!F:F,"Critical")+COUNTIF('End-to-End'!F:F,"Critical")</f>
        <v/>
      </c>
    </row>
    <row r="27" ht="15" customHeight="1" s="12">
      <c r="A27" s="17" t="inlineStr">
        <is>
          <t>High</t>
        </is>
      </c>
      <c r="B27" s="17">
        <f>COUNTIF(Login!F:F,"High")+COUNTIF(Header!F:F,"High")+COUNTIF(Footer!F:F,"High")+COUNTIF(Products!F:F,"High")+COUNTIF('Product Description'!F:F,"High")+COUNTIF(Cart!F:F,"High")+COUNTIF('Checkout Step 1'!F:F,"High")+COUNTIF('Checkout Step 2'!F:F,"High")+COUNTIF('Checkout Complete'!F:F,"High")+COUNTIF(About!F:F,"High")+COUNTIF(Logout!F:F,"High")+COUNTIF(Security!F:F,"High")+COUNTIF('Reset App State'!F:F,"High")+COUNTIF('End-to-End'!F:F,"High")</f>
        <v/>
      </c>
    </row>
    <row r="28" ht="15" customHeight="1" s="12">
      <c r="A28" s="17" t="inlineStr">
        <is>
          <t>Medium</t>
        </is>
      </c>
      <c r="B28" s="17">
        <f>COUNTIF(Login!F:F,"Medium")+COUNTIF(Header!F:F,"Medium")+COUNTIF(Footer!F:F,"Medium")+COUNTIF(Products!F:F,"Medium")+COUNTIF('Product Description'!F:F,"Medium")+COUNTIF(Cart!F:F,"Medium")+COUNTIF('Checkout Step 1'!F:F,"Medium")+COUNTIF('Checkout Step 2'!F:F,"Medium")+COUNTIF('Checkout Complete'!F:F,"Medium")+COUNTIF(About!F:F,"Medium")+COUNTIF(Logout!F:F,"Medium")+COUNTIF(Security!F:F,"Medium")+COUNTIF('Reset App State'!F:F,"Medium")+COUNTIF('End-to-End'!F:F,"Medium")</f>
        <v/>
      </c>
    </row>
    <row r="29" ht="15" customHeight="1" s="12">
      <c r="A29" s="17" t="inlineStr">
        <is>
          <t>Low</t>
        </is>
      </c>
      <c r="B29" s="17">
        <f>COUNTIF(Login!F:F,"Low")+COUNTIF(Header!F:F,"Low")+COUNTIF(Footer!F:F,"Low")+COUNTIF(Products!F:F,"Low")+COUNTIF('Product Description'!F:F,"Low")+COUNTIF(Cart!F:F,"Low")+COUNTIF('Checkout Step 1'!F:F,"Low")+COUNTIF('Checkout Step 2'!F:F,"Low")+COUNTIF('Checkout Complete'!F:F,"Low")+COUNTIF(About!F:F,"Low")+COUNTIF(Logout!F:F,"Low")+COUNTIF(Security!F:F,"Low")+COUNTIF('Reset App State'!F:F,"Low")+COUNTIF('End-to-End'!F:F,"Low")</f>
        <v/>
      </c>
    </row>
    <row r="30"/>
    <row r="31" ht="15" customHeight="1" s="12">
      <c r="A31" s="16" t="inlineStr">
        <is>
          <t>By Priority</t>
        </is>
      </c>
    </row>
    <row r="32" ht="15" customHeight="1" s="12">
      <c r="A32" s="17" t="inlineStr">
        <is>
          <t>P1</t>
        </is>
      </c>
      <c r="B32" s="17">
        <f>COUNTIF(Login!G:G,"P1")+COUNTIF(Header!G:G,"P1")+COUNTIF(Footer!G:G,"P1")+COUNTIF(Products!G:G,"P1")+COUNTIF('Product Description'!G:G,"P1")+COUNTIF(Cart!G:G,"P1")+COUNTIF('Checkout Step 1'!G:G,"P1")+COUNTIF('Checkout Step 2'!G:G,"P1")+COUNTIF('Checkout Complete'!G:G,"P1")+COUNTIF(About!G:G,"P1")+COUNTIF(Logout!G:G,"P1")+COUNTIF(Security!G:G,"P1")+COUNTIF('Reset App State'!G:G,"P1")+COUNTIF('End-to-End'!G:G,"P1")</f>
        <v/>
      </c>
    </row>
    <row r="33" ht="15" customHeight="1" s="12">
      <c r="A33" s="17" t="inlineStr">
        <is>
          <t>P2</t>
        </is>
      </c>
      <c r="B33" s="17">
        <f>COUNTIF(Login!G:G,"P2")+COUNTIF(Header!G:G,"P2")+COUNTIF(Footer!G:G,"P2")+COUNTIF(Products!G:G,"P2")+COUNTIF('Product Description'!G:G,"P2")+COUNTIF(Cart!G:G,"P2")+COUNTIF('Checkout Step 1'!G:G,"P2")+COUNTIF('Checkout Step 2'!G:G,"P2")+COUNTIF('Checkout Complete'!G:G,"P2")+COUNTIF(About!G:G,"P2")+COUNTIF(Logout!G:G,"P2")+COUNTIF(Security!G:G,"P2")+COUNTIF('Reset App State'!G:G,"P2")+COUNTIF('End-to-End'!G:G,"P2")</f>
        <v/>
      </c>
    </row>
    <row r="34" ht="15" customHeight="1" s="12">
      <c r="A34" s="17" t="inlineStr">
        <is>
          <t>P3</t>
        </is>
      </c>
      <c r="B34" s="17">
        <f>COUNTIF(Login!G:G,"P3")+COUNTIF(Header!G:G,"P3")+COUNTIF(Footer!G:G,"P3")+COUNTIF(Products!G:G,"P3")+COUNTIF('Product Description'!G:G,"P3")+COUNTIF(Cart!G:G,"P3")+COUNTIF('Checkout Step 1'!G:G,"P3")+COUNTIF('Checkout Step 2'!G:G,"P3")+COUNTIF('Checkout Complete'!G:G,"P3")+COUNTIF(About!G:G,"P3")+COUNTIF(Logout!G:G,"P3")+COUNTIF(Security!G:G,"P3")+COUNTIF('Reset App State'!G:G,"P3")+COUNTIF('End-to-End'!G:G,"P3")</f>
        <v/>
      </c>
    </row>
    <row r="35" ht="15" customHeight="1" s="12">
      <c r="A35" s="17" t="inlineStr">
        <is>
          <t>P4</t>
        </is>
      </c>
      <c r="B35" s="17">
        <f>COUNTIF(Login!G:G,"P4")+COUNTIF(Header!G:G,"P4")+COUNTIF(Footer!G:G,"P4")+COUNTIF(Products!G:G,"P4")+COUNTIF('Product Description'!G:G,"P4")+COUNTIF(Cart!G:G,"P4")+COUNTIF('Checkout Step 1'!G:G,"P4")+COUNTIF('Checkout Step 2'!G:G,"P4")+COUNTIF('Checkout Complete'!G:G,"P4")+COUNTIF(About!G:G,"P4")+COUNTIF(Logout!G:G,"P4")+COUNTIF(Security!G:G,"P4")+COUNTIF('Reset App State'!G:G,"P4")+COUNTIF('End-to-End'!G:G,"P4")</f>
        <v/>
      </c>
    </row>
    <row r="36"/>
    <row r="37" ht="15" customHeight="1" s="12">
      <c r="A37" s="16" t="inlineStr">
        <is>
          <t>Execution Status</t>
        </is>
      </c>
    </row>
    <row r="38" ht="15" customHeight="1" s="12">
      <c r="A38" s="17" t="inlineStr">
        <is>
          <t>Not Tested</t>
        </is>
      </c>
      <c r="B38" s="17">
        <f>COUNTIF(Login!K:K,"Not Tested")+COUNTIF(Header!K:K,"Not Tested")+COUNTIF(Footer!K:K,"Not Tested")+COUNTIF(Products!K:K,"Not Tested")+COUNTIF('Product Description'!K:K,"Not Tested")+COUNTIF(Cart!K:K,"Not Tested")+COUNTIF('Checkout Step 1'!K:K,"Not Tested")+COUNTIF('Checkout Step 2'!K:K,"Not Tested")+COUNTIF('Checkout Complete'!K:K,"Not Tested")+COUNTIF(About!K:K,"Not Tested")+COUNTIF(Logout!K:K,"Not Tested")+COUNTIF(Security!K:K,"Not Tested")+COUNTIF('Reset App State'!K:K,"Not Tested")+COUNTIF('End-to-End'!K:K,"Not Tested")</f>
        <v/>
      </c>
    </row>
    <row r="39" ht="15" customHeight="1" s="12">
      <c r="A39" s="17" t="inlineStr">
        <is>
          <t>Pass</t>
        </is>
      </c>
      <c r="B39" s="17">
        <f>COUNTIF(Login!K:K,"Pass")+COUNTIF(Header!K:K,"Pass")+COUNTIF(Footer!K:K,"Pass")+COUNTIF(Products!K:K,"Pass")+COUNTIF('Product Description'!K:K,"Pass")+COUNTIF(Cart!K:K,"Pass")+COUNTIF('Checkout Step 1'!K:K,"Pass")+COUNTIF('Checkout Step 2'!K:K,"Pass")+COUNTIF('Checkout Complete'!K:K,"Pass")+COUNTIF(About!K:K,"Pass")+COUNTIF(Logout!K:K,"Pass")+COUNTIF(Security!K:K,"Pass")+COUNTIF('Reset App State'!K:K,"Pass")+COUNTIF('End-to-End'!K:K,"Pass")</f>
        <v/>
      </c>
    </row>
    <row r="40" ht="15" customHeight="1" s="12">
      <c r="A40" s="17" t="inlineStr">
        <is>
          <t>Fail</t>
        </is>
      </c>
      <c r="B40" s="17">
        <f>COUNTIF(Login!K:K,"Fail")+COUNTIF(Header!K:K,"Fail")+COUNTIF(Footer!K:K,"Fail")+COUNTIF(Products!K:K,"Fail")+COUNTIF('Product Description'!K:K,"Fail")+COUNTIF(Cart!K:K,"Fail")+COUNTIF('Checkout Step 1'!K:K,"Fail")+COUNTIF('Checkout Step 2'!K:K,"Fail")+COUNTIF('Checkout Complete'!K:K,"Fail")+COUNTIF(About!K:K,"Fail")+COUNTIF(Logout!K:K,"Fail")+COUNTIF(Security!K:K,"Fail")+COUNTIF('Reset App State'!K:K,"Fail")+COUNTIF('End-to-End'!K:K,"Fail")</f>
        <v/>
      </c>
    </row>
    <row r="41" ht="15" customHeight="1" s="12">
      <c r="A41" s="17" t="inlineStr">
        <is>
          <t>Blocked</t>
        </is>
      </c>
      <c r="B41" s="17">
        <f>COUNTIF(Login!K:K,"Blocked")+COUNTIF(Header!K:K,"Blocked")+COUNTIF(Footer!K:K,"Blocked")+COUNTIF(Products!K:K,"Blocked")+COUNTIF('Product Description'!K:K,"Blocked")+COUNTIF(Cart!K:K,"Blocked")+COUNTIF('Checkout Step 1'!K:K,"Blocked")+COUNTIF('Checkout Step 2'!K:K,"Blocked")+COUNTIF('Checkout Complete'!K:K,"Blocked")+COUNTIF(About!K:K,"Blocked")+COUNTIF(Logout!K:K,"Blocked")+COUNTIF(Security!K:K,"Blocked")+COUNTIF('Reset App State'!K:K,"Blocked")+COUNTIF('End-to-End'!K:K,"Blocked")</f>
        <v/>
      </c>
    </row>
  </sheetData>
  <mergeCells count="1">
    <mergeCell ref="A1:D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16" customWidth="1" style="11" min="2" max="2"/>
    <col width="13" customWidth="1" style="11" min="3" max="3"/>
    <col width="40" customWidth="1" style="11" min="4" max="4"/>
    <col width="28" customWidth="1" style="11" min="5" max="5"/>
    <col width="11" customWidth="1" style="11" min="6" max="6"/>
    <col width="9" customWidth="1" style="11" min="7" max="7"/>
    <col width="42" customWidth="1" style="11" min="8" max="9"/>
    <col width="30" customWidth="1" style="11" min="10" max="10"/>
    <col width="12" customWidth="1" style="11" min="11" max="11"/>
    <col width="24" customWidth="1" style="11" min="12" max="12"/>
  </cols>
  <sheetData>
    <row r="1" ht="19.5" customHeight="1" s="12">
      <c r="A1" s="14" t="inlineStr">
        <is>
          <t>Test Case ID</t>
        </is>
      </c>
      <c r="B1" s="14" t="inlineStr">
        <is>
          <t>Module</t>
        </is>
      </c>
      <c r="C1" s="14" t="inlineStr">
        <is>
          <t>Scenario Type</t>
        </is>
      </c>
      <c r="D1" s="14" t="inlineStr">
        <is>
          <t>Test Case</t>
        </is>
      </c>
      <c r="E1" s="14" t="inlineStr">
        <is>
          <t>Preconditions</t>
        </is>
      </c>
      <c r="F1" s="14" t="inlineStr">
        <is>
          <t>Severity</t>
        </is>
      </c>
      <c r="G1" s="14" t="inlineStr">
        <is>
          <t>Priority</t>
        </is>
      </c>
      <c r="H1" s="14" t="inlineStr">
        <is>
          <t>Steps</t>
        </is>
      </c>
      <c r="I1" s="14" t="inlineStr">
        <is>
          <t>Expected Result</t>
        </is>
      </c>
      <c r="J1" s="14" t="inlineStr">
        <is>
          <t>Actual Result</t>
        </is>
      </c>
      <c r="K1" s="14" t="inlineStr">
        <is>
          <t>Status</t>
        </is>
      </c>
      <c r="L1" s="14" t="inlineStr">
        <is>
          <t>Remarks</t>
        </is>
      </c>
    </row>
    <row r="2" ht="45.75" customHeight="1" s="12">
      <c r="A2" s="18" t="inlineStr">
        <is>
          <t>TC_LOGI_001</t>
        </is>
      </c>
      <c r="B2" s="18" t="inlineStr">
        <is>
          <t>Login</t>
        </is>
      </c>
      <c r="C2" s="18" t="inlineStr">
        <is>
          <t>Positive</t>
        </is>
      </c>
      <c r="D2" s="18" t="inlineStr">
        <is>
          <t>Verify login succeeds for standard_user (positive baseline user)</t>
        </is>
      </c>
      <c r="E2" s="18" t="inlineStr">
        <is>
          <t>User is on Login page with browser open</t>
        </is>
      </c>
      <c r="F2" s="18" t="inlineStr">
        <is>
          <t>Critical</t>
        </is>
      </c>
      <c r="G2" s="18" t="inlineStr">
        <is>
          <t>P1</t>
        </is>
      </c>
      <c r="H2" s="18" t="inlineStr">
        <is>
          <t>1. Navigate to saucedemo.com
2. Enter each valid username with password 'secret_sauce'
3. Click Login</t>
        </is>
      </c>
      <c r="I2" s="18" t="inlineStr">
        <is>
          <t>User is redirected to /inventory.html (Products page) for each valid username</t>
        </is>
      </c>
      <c r="J2" s="18" t="inlineStr">
        <is>
          <t>Redirected to /inventory.html; 'Products' heading visible</t>
        </is>
      </c>
      <c r="K2" s="19" t="inlineStr">
        <is>
          <t>Pass</t>
        </is>
      </c>
      <c r="L2" s="18" t="inlineStr">
        <is>
          <t>Other valid users tested in User Personas sheet</t>
        </is>
      </c>
    </row>
    <row r="3" ht="34.5" customHeight="1" s="12">
      <c r="A3" s="18" t="inlineStr">
        <is>
          <t>TC_LOGI_002</t>
        </is>
      </c>
      <c r="B3" s="18" t="inlineStr">
        <is>
          <t>Login</t>
        </is>
      </c>
      <c r="C3" s="18" t="inlineStr">
        <is>
          <t>Negative</t>
        </is>
      </c>
      <c r="D3" s="18" t="inlineStr">
        <is>
          <t>Verify login fails with valid username and invalid password</t>
        </is>
      </c>
      <c r="E3" s="18" t="inlineStr">
        <is>
          <t>User is on Login page with browser open</t>
        </is>
      </c>
      <c r="F3" s="18" t="inlineStr">
        <is>
          <t>High</t>
        </is>
      </c>
      <c r="G3" s="18" t="inlineStr">
        <is>
          <t>P1</t>
        </is>
      </c>
      <c r="H3" s="18" t="inlineStr">
        <is>
          <t>1. Enter valid username (standard_user)
2. Enter incorrect password
3. Click Login</t>
        </is>
      </c>
      <c r="I3" s="18" t="inlineStr">
        <is>
          <t>Login fails; error message 'Epic sadface: Username and password do not match any user in this service' is displayed</t>
        </is>
      </c>
      <c r="J3" s="18" t="inlineStr">
        <is>
          <t>Error message shown; URL stays on login page</t>
        </is>
      </c>
      <c r="K3" s="19" t="inlineStr">
        <is>
          <t>Pass</t>
        </is>
      </c>
      <c r="L3" s="18" t="n"/>
    </row>
    <row r="4" ht="34.5" customHeight="1" s="12">
      <c r="A4" s="18" t="inlineStr">
        <is>
          <t>TC_LOGI_003</t>
        </is>
      </c>
      <c r="B4" s="18" t="inlineStr">
        <is>
          <t>Login</t>
        </is>
      </c>
      <c r="C4" s="18" t="inlineStr">
        <is>
          <t>Negative</t>
        </is>
      </c>
      <c r="D4" s="18" t="inlineStr">
        <is>
          <t>Verify login fails with invalid username and valid password</t>
        </is>
      </c>
      <c r="E4" s="18" t="inlineStr">
        <is>
          <t>User is on Login page with browser open</t>
        </is>
      </c>
      <c r="F4" s="18" t="inlineStr">
        <is>
          <t>High</t>
        </is>
      </c>
      <c r="G4" s="18" t="inlineStr">
        <is>
          <t>P1</t>
        </is>
      </c>
      <c r="H4" s="18" t="inlineStr">
        <is>
          <t>1. Enter invalid username
2. Enter valid password (secret_sauce)
3. Click Login</t>
        </is>
      </c>
      <c r="I4" s="18" t="inlineStr">
        <is>
          <t>Login fails; same generic error message is displayed (no user-enumeration hint)</t>
        </is>
      </c>
      <c r="J4" s="18" t="inlineStr">
        <is>
          <t>Generic error message shown; no username enumeration</t>
        </is>
      </c>
      <c r="K4" s="19" t="inlineStr">
        <is>
          <t>Pass</t>
        </is>
      </c>
      <c r="L4" s="18" t="n"/>
    </row>
    <row r="5" ht="34.5" customHeight="1" s="12">
      <c r="A5" s="18" t="inlineStr">
        <is>
          <t>TC_LOGI_004</t>
        </is>
      </c>
      <c r="B5" s="18" t="inlineStr">
        <is>
          <t>Login</t>
        </is>
      </c>
      <c r="C5" s="18" t="inlineStr">
        <is>
          <t>Negative</t>
        </is>
      </c>
      <c r="D5" s="18" t="inlineStr">
        <is>
          <t>Verify login fails for locked_out_user</t>
        </is>
      </c>
      <c r="E5" s="18" t="inlineStr">
        <is>
          <t>User is on Login page with browser open</t>
        </is>
      </c>
      <c r="F5" s="18" t="inlineStr">
        <is>
          <t>High</t>
        </is>
      </c>
      <c r="G5" s="18" t="inlineStr">
        <is>
          <t>P2</t>
        </is>
      </c>
      <c r="H5" s="18" t="inlineStr">
        <is>
          <t>1. Enter username 'locked_out_user' and password 'secret_sauce'
2. Click Login</t>
        </is>
      </c>
      <c r="I5" s="18" t="inlineStr">
        <is>
          <t>Login fails; error message 'Epic sadface: Sorry, this user has been locked out.' is displayed</t>
        </is>
      </c>
      <c r="J5" s="18" t="inlineStr">
        <is>
          <t>'locked out' error message displayed</t>
        </is>
      </c>
      <c r="K5" s="19" t="inlineStr">
        <is>
          <t>Pass</t>
        </is>
      </c>
      <c r="L5" s="18" t="n"/>
    </row>
    <row r="6" ht="23.25" customHeight="1" s="12">
      <c r="A6" s="18" t="inlineStr">
        <is>
          <t>TC_LOGI_005</t>
        </is>
      </c>
      <c r="B6" s="18" t="inlineStr">
        <is>
          <t>Login</t>
        </is>
      </c>
      <c r="C6" s="18" t="inlineStr">
        <is>
          <t>Positive</t>
        </is>
      </c>
      <c r="D6" s="18" t="inlineStr">
        <is>
          <t>Verify clicking 'Login' button on valid credentials takes you to the Home Page</t>
        </is>
      </c>
      <c r="E6" s="18" t="inlineStr">
        <is>
          <t>User is on Login page with browser open</t>
        </is>
      </c>
      <c r="F6" s="18" t="inlineStr">
        <is>
          <t>Critical</t>
        </is>
      </c>
      <c r="G6" s="18" t="inlineStr">
        <is>
          <t>P1</t>
        </is>
      </c>
      <c r="H6" s="18" t="inlineStr">
        <is>
          <t>1. Enter valid credentials
2. Click Login button</t>
        </is>
      </c>
      <c r="I6" s="18" t="inlineStr">
        <is>
          <t>Browser navigates to /inventory.html and product grid is visible</t>
        </is>
      </c>
      <c r="J6" s="18" t="inlineStr">
        <is>
          <t>Navigated to /inventory.html; product grid visible</t>
        </is>
      </c>
      <c r="K6" s="19" t="inlineStr">
        <is>
          <t>Pass</t>
        </is>
      </c>
      <c r="L6" s="18" t="n"/>
    </row>
    <row r="7">
      <c r="A7" t="inlineStr">
        <is>
          <t>TC_LOGI_999</t>
        </is>
      </c>
      <c r="B7" t="inlineStr">
        <is>
          <t>Login</t>
        </is>
      </c>
      <c r="C7" t="inlineStr">
        <is>
          <t>Negative</t>
        </is>
      </c>
      <c r="D7" t="inlineStr">
        <is>
          <t>Verify login fails when username is empty and password is provided</t>
        </is>
      </c>
      <c r="E7" t="inlineStr">
        <is>
          <t>User is on Login page</t>
        </is>
      </c>
      <c r="F7" t="inlineStr">
        <is>
          <t>High</t>
        </is>
      </c>
      <c r="G7" t="inlineStr">
        <is>
          <t>P2</t>
        </is>
      </c>
      <c r="H7" t="inlineStr">
        <is>
          <t>Enter only password and click Login</t>
        </is>
      </c>
      <c r="I7" t="inlineStr">
        <is>
          <t>Error: Username is required</t>
        </is>
      </c>
      <c r="J7" t="inlineStr"/>
      <c r="K7" t="inlineStr">
        <is>
          <t>Not Tested</t>
        </is>
      </c>
      <c r="L7" t="inlineStr">
        <is>
          <t>Recommended edge case</t>
        </is>
      </c>
    </row>
    <row r="8">
      <c r="A8" t="inlineStr">
        <is>
          <t>TC_LOGI_1000</t>
        </is>
      </c>
      <c r="B8" t="inlineStr">
        <is>
          <t>Login</t>
        </is>
      </c>
      <c r="C8" t="inlineStr">
        <is>
          <t>Negative</t>
        </is>
      </c>
      <c r="D8" t="inlineStr">
        <is>
          <t>Verify login fails when password is empty and username is provided</t>
        </is>
      </c>
      <c r="E8" t="inlineStr">
        <is>
          <t>User is on Login page</t>
        </is>
      </c>
      <c r="F8" t="inlineStr">
        <is>
          <t>High</t>
        </is>
      </c>
      <c r="G8" t="inlineStr">
        <is>
          <t>P2</t>
        </is>
      </c>
      <c r="H8" t="inlineStr">
        <is>
          <t>Enter only username and click Login</t>
        </is>
      </c>
      <c r="I8" t="inlineStr">
        <is>
          <t>Error: Password is required</t>
        </is>
      </c>
      <c r="J8" t="inlineStr"/>
      <c r="K8" t="inlineStr">
        <is>
          <t>Not Tested</t>
        </is>
      </c>
      <c r="L8" t="inlineStr">
        <is>
          <t>Recommended edge case</t>
        </is>
      </c>
    </row>
  </sheetData>
  <dataValidations count="4">
    <dataValidation sqref="F2:F6" showDropDown="0" showInputMessage="0" showErrorMessage="0" allowBlank="0" type="list" errorStyle="stop" operator="between">
      <formula1>"Critical,High,Medium,Low"</formula1>
      <formula2>0</formula2>
    </dataValidation>
    <dataValidation sqref="G2:G6" showDropDown="0" showInputMessage="0" showErrorMessage="0" allowBlank="0" type="list" errorStyle="stop" operator="between">
      <formula1>"P1,P2,P3,P4"</formula1>
      <formula2>0</formula2>
    </dataValidation>
    <dataValidation sqref="C2:C6" showDropDown="0" showInputMessage="0" showErrorMessage="0" allowBlank="0" type="list" errorStyle="stop" operator="between">
      <formula1>"Positive,Negative,End-to-End"</formula1>
      <formula2>0</formula2>
    </dataValidation>
    <dataValidation sqref="K2:K6" showDropDown="0" showInputMessage="0" showErrorMessage="0" allowBlank="0" type="list" errorStyle="stop" operator="between">
      <formula1>"Not Tested,Pass,Fail,Blocked"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16" customWidth="1" style="11" min="2" max="2"/>
    <col width="13" customWidth="1" style="11" min="3" max="3"/>
    <col width="40" customWidth="1" style="11" min="4" max="4"/>
    <col width="28" customWidth="1" style="11" min="5" max="5"/>
    <col width="11" customWidth="1" style="11" min="6" max="6"/>
    <col width="9" customWidth="1" style="11" min="7" max="7"/>
    <col width="42" customWidth="1" style="11" min="8" max="9"/>
    <col width="30" customWidth="1" style="11" min="10" max="10"/>
    <col width="12" customWidth="1" style="11" min="11" max="11"/>
    <col width="24" customWidth="1" style="11" min="12" max="12"/>
  </cols>
  <sheetData>
    <row r="1" ht="19.5" customHeight="1" s="12">
      <c r="A1" s="14" t="inlineStr">
        <is>
          <t>Test Case ID</t>
        </is>
      </c>
      <c r="B1" s="14" t="inlineStr">
        <is>
          <t>Module</t>
        </is>
      </c>
      <c r="C1" s="14" t="inlineStr">
        <is>
          <t>Scenario Type</t>
        </is>
      </c>
      <c r="D1" s="14" t="inlineStr">
        <is>
          <t>Test Case</t>
        </is>
      </c>
      <c r="E1" s="14" t="inlineStr">
        <is>
          <t>Preconditions</t>
        </is>
      </c>
      <c r="F1" s="14" t="inlineStr">
        <is>
          <t>Severity</t>
        </is>
      </c>
      <c r="G1" s="14" t="inlineStr">
        <is>
          <t>Priority</t>
        </is>
      </c>
      <c r="H1" s="14" t="inlineStr">
        <is>
          <t>Steps</t>
        </is>
      </c>
      <c r="I1" s="14" t="inlineStr">
        <is>
          <t>Expected Result</t>
        </is>
      </c>
      <c r="J1" s="14" t="inlineStr">
        <is>
          <t>Actual Result</t>
        </is>
      </c>
      <c r="K1" s="14" t="inlineStr">
        <is>
          <t>Status</t>
        </is>
      </c>
      <c r="L1" s="14" t="inlineStr">
        <is>
          <t>Remarks</t>
        </is>
      </c>
    </row>
    <row r="2" ht="23.25" customHeight="1" s="12">
      <c r="A2" s="18" t="inlineStr">
        <is>
          <t>TC_HEAD_001</t>
        </is>
      </c>
      <c r="B2" s="18" t="inlineStr">
        <is>
          <t>Header</t>
        </is>
      </c>
      <c r="C2" s="18" t="inlineStr">
        <is>
          <t>Positive</t>
        </is>
      </c>
      <c r="D2" s="18" t="inlineStr">
        <is>
          <t>Verify Products page loads with title 'Swag Labs'</t>
        </is>
      </c>
      <c r="E2" s="18" t="inlineStr">
        <is>
          <t>User is logged in (standard_user) and on Products/Home page</t>
        </is>
      </c>
      <c r="F2" s="18" t="inlineStr">
        <is>
          <t>Medium</t>
        </is>
      </c>
      <c r="G2" s="18" t="inlineStr">
        <is>
          <t>P2</t>
        </is>
      </c>
      <c r="H2" s="18" t="inlineStr">
        <is>
          <t>1. Login
2. Observe page title/header</t>
        </is>
      </c>
      <c r="I2" s="18" t="inlineStr">
        <is>
          <t>Header title reads 'Swag Labs' and product grid is visible</t>
        </is>
      </c>
      <c r="J2" s="18" t="inlineStr">
        <is>
          <t>Title 'Swag Labs' confirmed; heading 'Products' visible</t>
        </is>
      </c>
      <c r="K2" s="19" t="inlineStr">
        <is>
          <t>Pass</t>
        </is>
      </c>
      <c r="L2" s="18" t="n"/>
    </row>
    <row r="3" ht="34.5" customHeight="1" s="12">
      <c r="A3" s="18" t="inlineStr">
        <is>
          <t>TC_HEAD_002</t>
        </is>
      </c>
      <c r="B3" s="18" t="inlineStr">
        <is>
          <t>Header</t>
        </is>
      </c>
      <c r="C3" s="18" t="inlineStr">
        <is>
          <t>Positive</t>
        </is>
      </c>
      <c r="D3" s="18" t="inlineStr">
        <is>
          <t>Verify hamburger menu icon opens the menu list</t>
        </is>
      </c>
      <c r="E3" s="18" t="inlineStr">
        <is>
          <t>User is logged in (standard_user) and on Products/Home page</t>
        </is>
      </c>
      <c r="F3" s="18" t="inlineStr">
        <is>
          <t>Medium</t>
        </is>
      </c>
      <c r="G3" s="18" t="inlineStr">
        <is>
          <t>P2</t>
        </is>
      </c>
      <c r="H3" s="18" t="inlineStr">
        <is>
          <t>1. Click hamburger (menu) icon
2. Check aria-hidden attribute of menu container</t>
        </is>
      </c>
      <c r="I3" s="18" t="inlineStr">
        <is>
          <t>Menu slides open showing All Items, About, Logout, Reset App State; aria-hidden changes from 'true' to 'false'</t>
        </is>
      </c>
      <c r="J3" s="18" t="inlineStr">
        <is>
          <t>Menu opened; aria-hidden changed from 'true' to 'false'</t>
        </is>
      </c>
      <c r="K3" s="19" t="inlineStr">
        <is>
          <t>Pass</t>
        </is>
      </c>
      <c r="L3" s="18" t="inlineStr">
        <is>
          <t>Use aria-hidden property to assert open/closed state</t>
        </is>
      </c>
    </row>
    <row r="4" ht="23.25" customHeight="1" s="12">
      <c r="A4" s="18" t="inlineStr">
        <is>
          <t>TC_HEAD_003</t>
        </is>
      </c>
      <c r="B4" s="18" t="inlineStr">
        <is>
          <t>Header</t>
        </is>
      </c>
      <c r="C4" s="18" t="inlineStr">
        <is>
          <t>Positive</t>
        </is>
      </c>
      <c r="D4" s="18" t="inlineStr">
        <is>
          <t>Verify close (X) button closes the hamburger menu</t>
        </is>
      </c>
      <c r="E4" s="18" t="inlineStr">
        <is>
          <t>Hamburger menu is open</t>
        </is>
      </c>
      <c r="F4" s="18" t="inlineStr">
        <is>
          <t>Medium</t>
        </is>
      </c>
      <c r="G4" s="18" t="inlineStr">
        <is>
          <t>P3</t>
        </is>
      </c>
      <c r="H4" s="18" t="inlineStr">
        <is>
          <t>1. Open hamburger menu
2. Click X (close) button</t>
        </is>
      </c>
      <c r="I4" s="18" t="inlineStr">
        <is>
          <t>Menu closes; aria-hidden reverts to 'true' and menu items are not visible/interactable</t>
        </is>
      </c>
      <c r="J4" s="18" t="inlineStr">
        <is>
          <t>Menu closed; aria-hidden reverted to 'true'</t>
        </is>
      </c>
      <c r="K4" s="19" t="inlineStr">
        <is>
          <t>Pass</t>
        </is>
      </c>
      <c r="L4" s="18" t="n"/>
    </row>
  </sheetData>
  <dataValidations count="4">
    <dataValidation sqref="F2:F4" showDropDown="0" showInputMessage="0" showErrorMessage="0" allowBlank="0" type="list" errorStyle="stop" operator="between">
      <formula1>"Critical,High,Medium,Low"</formula1>
      <formula2>0</formula2>
    </dataValidation>
    <dataValidation sqref="G2:G4" showDropDown="0" showInputMessage="0" showErrorMessage="0" allowBlank="0" type="list" errorStyle="stop" operator="between">
      <formula1>"P1,P2,P3,P4"</formula1>
      <formula2>0</formula2>
    </dataValidation>
    <dataValidation sqref="C2:C4" showDropDown="0" showInputMessage="0" showErrorMessage="0" allowBlank="0" type="list" errorStyle="stop" operator="between">
      <formula1>"Positive,Negative,End-to-End"</formula1>
      <formula2>0</formula2>
    </dataValidation>
    <dataValidation sqref="K2:K4" showDropDown="0" showInputMessage="0" showErrorMessage="0" allowBlank="0" type="list" errorStyle="stop" operator="between">
      <formula1>"Not Tested,Pass,Fail,Blocked"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L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16" customWidth="1" style="11" min="2" max="2"/>
    <col width="13" customWidth="1" style="11" min="3" max="3"/>
    <col width="40" customWidth="1" style="11" min="4" max="4"/>
    <col width="28" customWidth="1" style="11" min="5" max="5"/>
    <col width="11" customWidth="1" style="11" min="6" max="6"/>
    <col width="9" customWidth="1" style="11" min="7" max="7"/>
    <col width="42" customWidth="1" style="11" min="8" max="9"/>
    <col width="30" customWidth="1" style="11" min="10" max="10"/>
    <col width="12" customWidth="1" style="11" min="11" max="11"/>
    <col width="24" customWidth="1" style="11" min="12" max="12"/>
  </cols>
  <sheetData>
    <row r="1" ht="19.5" customHeight="1" s="12">
      <c r="A1" s="14" t="inlineStr">
        <is>
          <t>Test Case ID</t>
        </is>
      </c>
      <c r="B1" s="14" t="inlineStr">
        <is>
          <t>Module</t>
        </is>
      </c>
      <c r="C1" s="14" t="inlineStr">
        <is>
          <t>Scenario Type</t>
        </is>
      </c>
      <c r="D1" s="14" t="inlineStr">
        <is>
          <t>Test Case</t>
        </is>
      </c>
      <c r="E1" s="14" t="inlineStr">
        <is>
          <t>Preconditions</t>
        </is>
      </c>
      <c r="F1" s="14" t="inlineStr">
        <is>
          <t>Severity</t>
        </is>
      </c>
      <c r="G1" s="14" t="inlineStr">
        <is>
          <t>Priority</t>
        </is>
      </c>
      <c r="H1" s="14" t="inlineStr">
        <is>
          <t>Steps</t>
        </is>
      </c>
      <c r="I1" s="14" t="inlineStr">
        <is>
          <t>Expected Result</t>
        </is>
      </c>
      <c r="J1" s="14" t="inlineStr">
        <is>
          <t>Actual Result</t>
        </is>
      </c>
      <c r="K1" s="14" t="inlineStr">
        <is>
          <t>Status</t>
        </is>
      </c>
      <c r="L1" s="14" t="inlineStr">
        <is>
          <t>Remarks</t>
        </is>
      </c>
    </row>
    <row r="2" ht="23.25" customHeight="1" s="12">
      <c r="A2" s="18" t="inlineStr">
        <is>
          <t>TC_FOOT_001</t>
        </is>
      </c>
      <c r="B2" s="18" t="inlineStr">
        <is>
          <t>Footer</t>
        </is>
      </c>
      <c r="C2" s="18" t="inlineStr">
        <is>
          <t>Positive</t>
        </is>
      </c>
      <c r="D2" s="18" t="inlineStr">
        <is>
          <t>Verify footer text displays correct copyright/terms text</t>
        </is>
      </c>
      <c r="E2" s="18" t="inlineStr">
        <is>
          <t>User is logged in (standard_user) and on Products/Home page</t>
        </is>
      </c>
      <c r="F2" s="18" t="inlineStr">
        <is>
          <t>Low</t>
        </is>
      </c>
      <c r="G2" s="18" t="inlineStr">
        <is>
          <t>P3</t>
        </is>
      </c>
      <c r="H2" s="18" t="inlineStr">
        <is>
          <t>1. Scroll to footer
2. Read footer text</t>
        </is>
      </c>
      <c r="I2" s="18" t="inlineStr">
        <is>
          <t>Footer displays "© 2026 Sauce Labs. All Rights Reserved. Terms of Service | Privacy Policy"</t>
        </is>
      </c>
      <c r="J2" s="18" t="inlineStr">
        <is>
          <t>Footer text contains 'Sauce Labs' and 'Terms of Service | Privacy Policy'</t>
        </is>
      </c>
      <c r="K2" s="19" t="inlineStr">
        <is>
          <t>Pass</t>
        </is>
      </c>
      <c r="L2" s="18" t="n"/>
    </row>
    <row r="3" ht="23.25" customHeight="1" s="12">
      <c r="A3" s="18" t="inlineStr">
        <is>
          <t>TC_FOOT_002</t>
        </is>
      </c>
      <c r="B3" s="18" t="inlineStr">
        <is>
          <t>Footer</t>
        </is>
      </c>
      <c r="C3" s="18" t="inlineStr">
        <is>
          <t>Positive</t>
        </is>
      </c>
      <c r="D3" s="18" t="inlineStr">
        <is>
          <t>Verify X (Twitter) icon links to X only</t>
        </is>
      </c>
      <c r="E3" s="18" t="inlineStr">
        <is>
          <t>User is logged in (standard_user) and on Products/Home page</t>
        </is>
      </c>
      <c r="F3" s="18" t="inlineStr">
        <is>
          <t>Low</t>
        </is>
      </c>
      <c r="G3" s="18" t="inlineStr">
        <is>
          <t>P3</t>
        </is>
      </c>
      <c r="H3" s="18" t="inlineStr">
        <is>
          <t>1. Click X/Twitter footer icon
2. Inspect destination URL/tab</t>
        </is>
      </c>
      <c r="I3" s="18" t="inlineStr">
        <is>
          <t>New tab opens to X (twitter.com) domain; does not redirect to Facebook or LinkedIn</t>
        </is>
      </c>
      <c r="J3" s="18" t="inlineStr">
        <is>
          <t>X/Twitter href matches twitter.com or x.com only; not facebook or linkedin</t>
        </is>
      </c>
      <c r="K3" s="19" t="inlineStr">
        <is>
          <t>Pass</t>
        </is>
      </c>
      <c r="L3" s="18" t="n"/>
    </row>
    <row r="4" ht="23.25" customHeight="1" s="12">
      <c r="A4" s="18" t="inlineStr">
        <is>
          <t>TC_FOOT_003</t>
        </is>
      </c>
      <c r="B4" s="18" t="inlineStr">
        <is>
          <t>Footer</t>
        </is>
      </c>
      <c r="C4" s="18" t="inlineStr">
        <is>
          <t>Positive</t>
        </is>
      </c>
      <c r="D4" s="18" t="inlineStr">
        <is>
          <t>Verify Facebook icon links to Facebook only</t>
        </is>
      </c>
      <c r="E4" s="18" t="inlineStr">
        <is>
          <t>User is logged in (standard_user) and on Products/Home page</t>
        </is>
      </c>
      <c r="F4" s="18" t="inlineStr">
        <is>
          <t>Low</t>
        </is>
      </c>
      <c r="G4" s="18" t="inlineStr">
        <is>
          <t>P3</t>
        </is>
      </c>
      <c r="H4" s="18" t="inlineStr">
        <is>
          <t>1. Click Facebook footer icon
2. Inspect destination URL/tab</t>
        </is>
      </c>
      <c r="I4" s="18" t="inlineStr">
        <is>
          <t>New tab opens to facebook.com domain; does not redirect to X or LinkedIn</t>
        </is>
      </c>
      <c r="J4" s="18" t="inlineStr">
        <is>
          <t>Facebook href matches facebook.com only; not twitter or linkedin</t>
        </is>
      </c>
      <c r="K4" s="19" t="inlineStr">
        <is>
          <t>Pass</t>
        </is>
      </c>
      <c r="L4" s="18" t="n"/>
    </row>
    <row r="5" ht="23.25" customHeight="1" s="12">
      <c r="A5" s="18" t="inlineStr">
        <is>
          <t>TC_FOOT_004</t>
        </is>
      </c>
      <c r="B5" s="18" t="inlineStr">
        <is>
          <t>Footer</t>
        </is>
      </c>
      <c r="C5" s="18" t="inlineStr">
        <is>
          <t>Positive</t>
        </is>
      </c>
      <c r="D5" s="18" t="inlineStr">
        <is>
          <t>Verify LinkedIn icon links to LinkedIn only</t>
        </is>
      </c>
      <c r="E5" s="18" t="inlineStr">
        <is>
          <t>User is logged in (standard_user) and on Products/Home page</t>
        </is>
      </c>
      <c r="F5" s="18" t="inlineStr">
        <is>
          <t>Low</t>
        </is>
      </c>
      <c r="G5" s="18" t="inlineStr">
        <is>
          <t>P3</t>
        </is>
      </c>
      <c r="H5" s="18" t="inlineStr">
        <is>
          <t>1. Click LinkedIn footer icon
2. Inspect destination URL/tab</t>
        </is>
      </c>
      <c r="I5" s="18" t="inlineStr">
        <is>
          <t>New tab opens to linkedin.com domain; does not redirect to Facebook or X</t>
        </is>
      </c>
      <c r="J5" s="18" t="inlineStr">
        <is>
          <t>LinkedIn href matches linkedin.com only; not facebook or twitter</t>
        </is>
      </c>
      <c r="K5" s="19" t="inlineStr">
        <is>
          <t>Pass</t>
        </is>
      </c>
      <c r="L5" s="18" t="n"/>
    </row>
  </sheetData>
  <dataValidations count="4">
    <dataValidation sqref="F2:F5" showDropDown="0" showInputMessage="0" showErrorMessage="0" allowBlank="0" type="list" errorStyle="stop" operator="between">
      <formula1>"Critical,High,Medium,Low"</formula1>
      <formula2>0</formula2>
    </dataValidation>
    <dataValidation sqref="G2:G5" showDropDown="0" showInputMessage="0" showErrorMessage="0" allowBlank="0" type="list" errorStyle="stop" operator="between">
      <formula1>"P1,P2,P3,P4"</formula1>
      <formula2>0</formula2>
    </dataValidation>
    <dataValidation sqref="C2:C5" showDropDown="0" showInputMessage="0" showErrorMessage="0" allowBlank="0" type="list" errorStyle="stop" operator="between">
      <formula1>"Positive,Negative,End-to-End"</formula1>
      <formula2>0</formula2>
    </dataValidation>
    <dataValidation sqref="K2:K5" showDropDown="0" showInputMessage="0" showErrorMessage="0" allowBlank="0" type="list" errorStyle="stop" operator="between">
      <formula1>"Not Tested,Pass,Fail,Blocked"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L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16" customWidth="1" style="11" min="2" max="2"/>
    <col width="13" customWidth="1" style="11" min="3" max="3"/>
    <col width="40" customWidth="1" style="11" min="4" max="4"/>
    <col width="28" customWidth="1" style="11" min="5" max="5"/>
    <col width="11" customWidth="1" style="11" min="6" max="6"/>
    <col width="9" customWidth="1" style="11" min="7" max="7"/>
    <col width="42" customWidth="1" style="11" min="8" max="9"/>
    <col width="30" customWidth="1" style="11" min="10" max="10"/>
    <col width="12" customWidth="1" style="11" min="11" max="11"/>
    <col width="24" customWidth="1" style="11" min="12" max="12"/>
  </cols>
  <sheetData>
    <row r="1" ht="19.5" customHeight="1" s="12">
      <c r="A1" s="14" t="inlineStr">
        <is>
          <t>Test Case ID</t>
        </is>
      </c>
      <c r="B1" s="14" t="inlineStr">
        <is>
          <t>Module</t>
        </is>
      </c>
      <c r="C1" s="14" t="inlineStr">
        <is>
          <t>Scenario Type</t>
        </is>
      </c>
      <c r="D1" s="14" t="inlineStr">
        <is>
          <t>Test Case</t>
        </is>
      </c>
      <c r="E1" s="14" t="inlineStr">
        <is>
          <t>Preconditions</t>
        </is>
      </c>
      <c r="F1" s="14" t="inlineStr">
        <is>
          <t>Severity</t>
        </is>
      </c>
      <c r="G1" s="14" t="inlineStr">
        <is>
          <t>Priority</t>
        </is>
      </c>
      <c r="H1" s="14" t="inlineStr">
        <is>
          <t>Steps</t>
        </is>
      </c>
      <c r="I1" s="14" t="inlineStr">
        <is>
          <t>Expected Result</t>
        </is>
      </c>
      <c r="J1" s="14" t="inlineStr">
        <is>
          <t>Actual Result</t>
        </is>
      </c>
      <c r="K1" s="14" t="inlineStr">
        <is>
          <t>Status</t>
        </is>
      </c>
      <c r="L1" s="14" t="inlineStr">
        <is>
          <t>Remarks</t>
        </is>
      </c>
    </row>
    <row r="2" ht="23.25" customHeight="1" s="12">
      <c r="A2" s="18" t="inlineStr">
        <is>
          <t>TC_PROD_001</t>
        </is>
      </c>
      <c r="B2" s="18" t="inlineStr">
        <is>
          <t>Products</t>
        </is>
      </c>
      <c r="C2" s="18" t="inlineStr">
        <is>
          <t>Positive</t>
        </is>
      </c>
      <c r="D2" s="18" t="inlineStr">
        <is>
          <t>Assert Products page title is 'Products'</t>
        </is>
      </c>
      <c r="E2" s="18" t="inlineStr">
        <is>
          <t>User is logged in (standard_user) and on Products/Home page</t>
        </is>
      </c>
      <c r="F2" s="18" t="inlineStr">
        <is>
          <t>Medium</t>
        </is>
      </c>
      <c r="G2" s="18" t="inlineStr">
        <is>
          <t>P2</t>
        </is>
      </c>
      <c r="H2" s="18" t="inlineStr">
        <is>
          <t>1. Login
2. Observe page heading</t>
        </is>
      </c>
      <c r="I2" s="18" t="inlineStr">
        <is>
          <t>Page heading reads 'Products'</t>
        </is>
      </c>
      <c r="J2" s="18" t="inlineStr">
        <is>
          <t>Page heading reads 'Products'</t>
        </is>
      </c>
      <c r="K2" s="19" t="inlineStr">
        <is>
          <t>Pass</t>
        </is>
      </c>
      <c r="L2" s="18" t="n"/>
    </row>
    <row r="3" ht="34.5" customHeight="1" s="12">
      <c r="A3" s="18" t="inlineStr">
        <is>
          <t>TC_PROD_002</t>
        </is>
      </c>
      <c r="B3" s="18" t="inlineStr">
        <is>
          <t>Products</t>
        </is>
      </c>
      <c r="C3" s="18" t="inlineStr">
        <is>
          <t>Positive</t>
        </is>
      </c>
      <c r="D3" s="18" t="inlineStr">
        <is>
          <t>Verify number of product cards matches number of 'Add to Cart' buttons and prices</t>
        </is>
      </c>
      <c r="E3" s="18" t="inlineStr">
        <is>
          <t>User is logged in (standard_user) and on Products/Home page</t>
        </is>
      </c>
      <c r="F3" s="18" t="inlineStr">
        <is>
          <t>High</t>
        </is>
      </c>
      <c r="G3" s="18" t="inlineStr">
        <is>
          <t>P2</t>
        </is>
      </c>
      <c r="H3" s="18" t="inlineStr">
        <is>
          <t>1. Count product cards
2. Count 'Add to Cart' buttons
3. Count price elements</t>
        </is>
      </c>
      <c r="I3" s="18" t="inlineStr">
        <is>
          <t>All three counts are equal (6 on standard catalog)</t>
        </is>
      </c>
      <c r="J3" s="18" t="inlineStr">
        <is>
          <t>Card count, button count, and price count all equal 6</t>
        </is>
      </c>
      <c r="K3" s="19" t="inlineStr">
        <is>
          <t>Pass</t>
        </is>
      </c>
      <c r="L3" s="18" t="n"/>
    </row>
    <row r="4" ht="34.5" customHeight="1" s="12">
      <c r="A4" s="18" t="inlineStr">
        <is>
          <t>TC_PROD_003</t>
        </is>
      </c>
      <c r="B4" s="18" t="inlineStr">
        <is>
          <t>Products</t>
        </is>
      </c>
      <c r="C4" s="18" t="inlineStr">
        <is>
          <t>Positive</t>
        </is>
      </c>
      <c r="D4" s="18" t="inlineStr">
        <is>
          <t>Verify A-Z sort arranges products alphabetically</t>
        </is>
      </c>
      <c r="E4" s="18" t="inlineStr">
        <is>
          <t>User is logged in (standard_user) and on Products/Home page</t>
        </is>
      </c>
      <c r="F4" s="18" t="inlineStr">
        <is>
          <t>Medium</t>
        </is>
      </c>
      <c r="G4" s="18" t="inlineStr">
        <is>
          <t>P2</t>
        </is>
      </c>
      <c r="H4" s="18" t="inlineStr">
        <is>
          <t>1. Open sort dropdown
2. Select 'Name (A to Z)'
3. Compare 1st and 2nd product names</t>
        </is>
      </c>
      <c r="I4" s="18" t="inlineStr">
        <is>
          <t>1st product name is alphabetically before or equal to 2nd product name</t>
        </is>
      </c>
      <c r="J4" s="18" t="inlineStr">
        <is>
          <t>First product name alphabetically ≤ second product name</t>
        </is>
      </c>
      <c r="K4" s="19" t="inlineStr">
        <is>
          <t>Pass</t>
        </is>
      </c>
      <c r="L4" s="18" t="n"/>
    </row>
    <row r="5" ht="23.25" customHeight="1" s="12">
      <c r="A5" s="18" t="inlineStr">
        <is>
          <t>TC_PROD_004</t>
        </is>
      </c>
      <c r="B5" s="18" t="inlineStr">
        <is>
          <t>Products</t>
        </is>
      </c>
      <c r="C5" s="18" t="inlineStr">
        <is>
          <t>Positive</t>
        </is>
      </c>
      <c r="D5" s="18" t="inlineStr">
        <is>
          <t>Verify Z-A sort arranges products in reverse alphabetical order</t>
        </is>
      </c>
      <c r="E5" s="18" t="inlineStr">
        <is>
          <t>User is logged in (standard_user) and on Products/Home page</t>
        </is>
      </c>
      <c r="F5" s="18" t="inlineStr">
        <is>
          <t>Medium</t>
        </is>
      </c>
      <c r="G5" s="18" t="inlineStr">
        <is>
          <t>P2</t>
        </is>
      </c>
      <c r="H5" s="18" t="inlineStr">
        <is>
          <t>1. Select 'Name (Z to A)'
2. Compare 1st and 2nd product names</t>
        </is>
      </c>
      <c r="I5" s="18" t="inlineStr">
        <is>
          <t>1st product name is alphabetically after or equal to 2nd product name</t>
        </is>
      </c>
      <c r="J5" s="18" t="inlineStr">
        <is>
          <t>First product name alphabetically ≥ second product name</t>
        </is>
      </c>
      <c r="K5" s="19" t="inlineStr">
        <is>
          <t>Pass</t>
        </is>
      </c>
      <c r="L5" s="18" t="n"/>
    </row>
    <row r="6" ht="23.25" customHeight="1" s="12">
      <c r="A6" s="18" t="inlineStr">
        <is>
          <t>TC_PROD_005</t>
        </is>
      </c>
      <c r="B6" s="18" t="inlineStr">
        <is>
          <t>Products</t>
        </is>
      </c>
      <c r="C6" s="18" t="inlineStr">
        <is>
          <t>Positive</t>
        </is>
      </c>
      <c r="D6" s="18" t="inlineStr">
        <is>
          <t>Verify Price (low to high) sort orders ascending</t>
        </is>
      </c>
      <c r="E6" s="18" t="inlineStr">
        <is>
          <t>User is logged in (standard_user) and on Products/Home page</t>
        </is>
      </c>
      <c r="F6" s="18" t="inlineStr">
        <is>
          <t>Medium</t>
        </is>
      </c>
      <c r="G6" s="18" t="inlineStr">
        <is>
          <t>P2</t>
        </is>
      </c>
      <c r="H6" s="18" t="inlineStr">
        <is>
          <t>1. Select 'Price (low to high)'
2. Compare 1st and 2nd product prices</t>
        </is>
      </c>
      <c r="I6" s="18" t="inlineStr">
        <is>
          <t>1st product price &lt;= 2nd product price</t>
        </is>
      </c>
      <c r="J6" s="18" t="inlineStr">
        <is>
          <t>First price ≤ second price</t>
        </is>
      </c>
      <c r="K6" s="19" t="inlineStr">
        <is>
          <t>Pass</t>
        </is>
      </c>
      <c r="L6" s="18" t="n"/>
    </row>
    <row r="7" ht="23.25" customHeight="1" s="12">
      <c r="A7" s="18" t="inlineStr">
        <is>
          <t>TC_PROD_006</t>
        </is>
      </c>
      <c r="B7" s="18" t="inlineStr">
        <is>
          <t>Products</t>
        </is>
      </c>
      <c r="C7" s="18" t="inlineStr">
        <is>
          <t>Positive</t>
        </is>
      </c>
      <c r="D7" s="18" t="inlineStr">
        <is>
          <t>Verify Price (high to low) sort orders descending</t>
        </is>
      </c>
      <c r="E7" s="18" t="inlineStr">
        <is>
          <t>User is logged in (standard_user) and on Products/Home page</t>
        </is>
      </c>
      <c r="F7" s="18" t="inlineStr">
        <is>
          <t>Medium</t>
        </is>
      </c>
      <c r="G7" s="18" t="inlineStr">
        <is>
          <t>P2</t>
        </is>
      </c>
      <c r="H7" s="18" t="inlineStr">
        <is>
          <t>1. Select 'Price (high to low)'
2. Compare 1st and 2nd product prices</t>
        </is>
      </c>
      <c r="I7" s="18" t="inlineStr">
        <is>
          <t>1st product price &gt;= 2nd product price</t>
        </is>
      </c>
      <c r="J7" s="18" t="inlineStr">
        <is>
          <t>First price ≥ second price</t>
        </is>
      </c>
      <c r="K7" s="19" t="inlineStr">
        <is>
          <t>Pass</t>
        </is>
      </c>
      <c r="L7" s="18" t="n"/>
    </row>
    <row r="8" ht="34.5" customHeight="1" s="12">
      <c r="A8" s="18" t="inlineStr">
        <is>
          <t>TC_PROD_007</t>
        </is>
      </c>
      <c r="B8" s="18" t="inlineStr">
        <is>
          <t>Products</t>
        </is>
      </c>
      <c r="C8" s="18" t="inlineStr">
        <is>
          <t>Positive</t>
        </is>
      </c>
      <c r="D8" s="18" t="inlineStr">
        <is>
          <t>Verify 'Add to Cart' adds correct product (name/desc match) to Cart page</t>
        </is>
      </c>
      <c r="E8" s="18" t="inlineStr">
        <is>
          <t>User is logged in (standard_user) and on Products/Home page</t>
        </is>
      </c>
      <c r="F8" s="18" t="inlineStr">
        <is>
          <t>Critical</t>
        </is>
      </c>
      <c r="G8" s="18" t="inlineStr">
        <is>
          <t>P1</t>
        </is>
      </c>
      <c r="H8" s="18" t="inlineStr">
        <is>
          <t>1. Note name/description of a product
2. Click 'Add to Cart'
3. Navigate to Cart page</t>
        </is>
      </c>
      <c r="I8" s="18" t="inlineStr">
        <is>
          <t>Cart page shows same product name and description as on Products page</t>
        </is>
      </c>
      <c r="J8" s="18" t="inlineStr">
        <is>
          <t>Cart page shows matching product name and description</t>
        </is>
      </c>
      <c r="K8" s="19" t="inlineStr">
        <is>
          <t>Pass</t>
        </is>
      </c>
      <c r="L8" s="18" t="n"/>
    </row>
    <row r="9" ht="23.25" customHeight="1" s="12">
      <c r="A9" s="18" t="inlineStr">
        <is>
          <t>TC_PROD_008</t>
        </is>
      </c>
      <c r="B9" s="18" t="inlineStr">
        <is>
          <t>Products</t>
        </is>
      </c>
      <c r="C9" s="18" t="inlineStr">
        <is>
          <t>Positive</t>
        </is>
      </c>
      <c r="D9" s="18" t="inlineStr">
        <is>
          <t>Verify 'Add to Cart' button changes to 'Remove' for the added product</t>
        </is>
      </c>
      <c r="E9" s="18" t="inlineStr">
        <is>
          <t>User is logged in (standard_user) and on Products/Home page</t>
        </is>
      </c>
      <c r="F9" s="18" t="inlineStr">
        <is>
          <t>High</t>
        </is>
      </c>
      <c r="G9" s="18" t="inlineStr">
        <is>
          <t>P2</t>
        </is>
      </c>
      <c r="H9" s="18" t="inlineStr">
        <is>
          <t>1. Click 'Add to Cart' on a product</t>
        </is>
      </c>
      <c r="I9" s="18" t="inlineStr">
        <is>
          <t>Button label/state changes to 'Remove' for that product only</t>
        </is>
      </c>
      <c r="J9" s="18" t="inlineStr">
        <is>
          <t>Added product button changed to 'Remove'</t>
        </is>
      </c>
      <c r="K9" s="19" t="inlineStr">
        <is>
          <t>Pass</t>
        </is>
      </c>
      <c r="L9" s="18" t="n"/>
    </row>
    <row r="10" ht="23.25" customHeight="1" s="12">
      <c r="A10" s="18" t="inlineStr">
        <is>
          <t>TC_PROD_009</t>
        </is>
      </c>
      <c r="B10" s="18" t="inlineStr">
        <is>
          <t>Products</t>
        </is>
      </c>
      <c r="C10" s="18" t="inlineStr">
        <is>
          <t>Negative</t>
        </is>
      </c>
      <c r="D10" s="18" t="inlineStr">
        <is>
          <t>Verify button of a non-added product does NOT change to 'Remove'</t>
        </is>
      </c>
      <c r="E10" s="18" t="inlineStr">
        <is>
          <t>User is logged in (standard_user) and on Products/Home page</t>
        </is>
      </c>
      <c r="F10" s="18" t="inlineStr">
        <is>
          <t>Medium</t>
        </is>
      </c>
      <c r="G10" s="18" t="inlineStr">
        <is>
          <t>P3</t>
        </is>
      </c>
      <c r="H10" s="18" t="inlineStr">
        <is>
          <t>1. Add Product A to cart
2. Inspect Product B's button</t>
        </is>
      </c>
      <c r="I10" s="18" t="inlineStr">
        <is>
          <t>Product B's button remains 'Add to Cart'</t>
        </is>
      </c>
      <c r="J10" s="18" t="inlineStr">
        <is>
          <t>Non-added product button remains 'Add to cart'</t>
        </is>
      </c>
      <c r="K10" s="19" t="inlineStr">
        <is>
          <t>Pass</t>
        </is>
      </c>
      <c r="L10" s="18" t="n"/>
    </row>
    <row r="11" ht="34.5" customHeight="1" s="12">
      <c r="A11" s="18" t="inlineStr">
        <is>
          <t>TC_PROD_010</t>
        </is>
      </c>
      <c r="B11" s="18" t="inlineStr">
        <is>
          <t>Products</t>
        </is>
      </c>
      <c r="C11" s="18" t="inlineStr">
        <is>
          <t>Positive</t>
        </is>
      </c>
      <c r="D11" s="18" t="inlineStr">
        <is>
          <t>Verify clicking Remove removes that product from Cart page</t>
        </is>
      </c>
      <c r="E11" s="18" t="inlineStr">
        <is>
          <t>Product already added to cart</t>
        </is>
      </c>
      <c r="F11" s="18" t="inlineStr">
        <is>
          <t>High</t>
        </is>
      </c>
      <c r="G11" s="18" t="inlineStr">
        <is>
          <t>P2</t>
        </is>
      </c>
      <c r="H11" s="18" t="inlineStr">
        <is>
          <t>1. Click 'Remove' on a product in Products or Cart page
2. Navigate to Cart page</t>
        </is>
      </c>
      <c r="I11" s="18" t="inlineStr">
        <is>
          <t>Product is no longer listed in cart</t>
        </is>
      </c>
      <c r="J11" s="18" t="inlineStr">
        <is>
          <t>Removed product no longer listed in cart</t>
        </is>
      </c>
      <c r="K11" s="19" t="inlineStr">
        <is>
          <t>Pass</t>
        </is>
      </c>
      <c r="L11" s="18" t="n"/>
    </row>
    <row r="12" ht="23.25" customHeight="1" s="12">
      <c r="A12" s="18" t="inlineStr">
        <is>
          <t>TC_PROD_011</t>
        </is>
      </c>
      <c r="B12" s="18" t="inlineStr">
        <is>
          <t>Products</t>
        </is>
      </c>
      <c r="C12" s="18" t="inlineStr">
        <is>
          <t>Negative</t>
        </is>
      </c>
      <c r="D12" s="18" t="inlineStr">
        <is>
          <t>Verify Remove on one product does not remove other cart items</t>
        </is>
      </c>
      <c r="E12" s="18" t="inlineStr">
        <is>
          <t>2+ products already added to cart</t>
        </is>
      </c>
      <c r="F12" s="18" t="inlineStr">
        <is>
          <t>High</t>
        </is>
      </c>
      <c r="G12" s="18" t="inlineStr">
        <is>
          <t>P2</t>
        </is>
      </c>
      <c r="H12" s="18" t="inlineStr">
        <is>
          <t>1. Click 'Remove' on Product A only
2. Check Cart page</t>
        </is>
      </c>
      <c r="I12" s="18" t="inlineStr">
        <is>
          <t>Product B (and others) remain in cart untouched</t>
        </is>
      </c>
      <c r="J12" s="18" t="inlineStr">
        <is>
          <t>Other product remains in cart with 'Remove' button unchanged</t>
        </is>
      </c>
      <c r="K12" s="19" t="inlineStr">
        <is>
          <t>Pass</t>
        </is>
      </c>
      <c r="L12" s="18" t="n"/>
    </row>
    <row r="13" ht="23.25" customHeight="1" s="12">
      <c r="A13" s="18" t="inlineStr">
        <is>
          <t>TC_PROD_012</t>
        </is>
      </c>
      <c r="B13" s="18" t="inlineStr">
        <is>
          <t>Products</t>
        </is>
      </c>
      <c r="C13" s="18" t="inlineStr">
        <is>
          <t>Positive</t>
        </is>
      </c>
      <c r="D13" s="18" t="inlineStr">
        <is>
          <t>Verify clicking a product card navigates to product description page</t>
        </is>
      </c>
      <c r="E13" s="18" t="inlineStr">
        <is>
          <t>User is logged in (standard_user) and on Products/Home page</t>
        </is>
      </c>
      <c r="F13" s="18" t="inlineStr">
        <is>
          <t>Medium</t>
        </is>
      </c>
      <c r="G13" s="18" t="inlineStr">
        <is>
          <t>P2</t>
        </is>
      </c>
      <c r="H13" s="18" t="inlineStr">
        <is>
          <t>1. Click product image or name</t>
        </is>
      </c>
      <c r="I13" s="18" t="inlineStr">
        <is>
          <t>User is navigated to /inventory-item.html?id=&lt;id&gt; for that product</t>
        </is>
      </c>
      <c r="J13" s="18" t="inlineStr">
        <is>
          <t>Navigated to /inventory-item.html for clicked product</t>
        </is>
      </c>
      <c r="K13" s="19" t="inlineStr">
        <is>
          <t>Pass</t>
        </is>
      </c>
      <c r="L13" s="18" t="n"/>
    </row>
    <row r="14" ht="23.25" customHeight="1" s="12">
      <c r="A14" s="18" t="inlineStr">
        <is>
          <t>TC_PROD_013</t>
        </is>
      </c>
      <c r="B14" s="18" t="inlineStr">
        <is>
          <t>Products</t>
        </is>
      </c>
      <c r="C14" s="18" t="inlineStr">
        <is>
          <t>Positive</t>
        </is>
      </c>
      <c r="D14" s="18" t="inlineStr">
        <is>
          <t>Verify cart icon badge shows correct product count</t>
        </is>
      </c>
      <c r="E14" s="18" t="inlineStr">
        <is>
          <t>User is logged in (standard_user) and on Products/Home page</t>
        </is>
      </c>
      <c r="F14" s="18" t="inlineStr">
        <is>
          <t>High</t>
        </is>
      </c>
      <c r="G14" s="18" t="inlineStr">
        <is>
          <t>P2</t>
        </is>
      </c>
      <c r="H14" s="18" t="inlineStr">
        <is>
          <t>1. Add N products to cart
2. Observe cart icon badge</t>
        </is>
      </c>
      <c r="I14" s="18" t="inlineStr">
        <is>
          <t>Badge displays number N matching items added</t>
        </is>
      </c>
      <c r="J14" s="18" t="inlineStr">
        <is>
          <t>Cart badge shows count 2 after adding 2 products</t>
        </is>
      </c>
      <c r="K14" s="19" t="inlineStr">
        <is>
          <t>Pass</t>
        </is>
      </c>
      <c r="L14" s="18" t="n"/>
    </row>
  </sheetData>
  <dataValidations count="4">
    <dataValidation sqref="F2:F14" showDropDown="0" showInputMessage="0" showErrorMessage="0" allowBlank="0" type="list" errorStyle="stop" operator="between">
      <formula1>"Critical,High,Medium,Low"</formula1>
      <formula2>0</formula2>
    </dataValidation>
    <dataValidation sqref="G2:G14" showDropDown="0" showInputMessage="0" showErrorMessage="0" allowBlank="0" type="list" errorStyle="stop" operator="between">
      <formula1>"P1,P2,P3,P4"</formula1>
      <formula2>0</formula2>
    </dataValidation>
    <dataValidation sqref="C2:C14" showDropDown="0" showInputMessage="0" showErrorMessage="0" allowBlank="0" type="list" errorStyle="stop" operator="between">
      <formula1>"Positive,Negative,End-to-End"</formula1>
      <formula2>0</formula2>
    </dataValidation>
    <dataValidation sqref="K2:K14" showDropDown="0" showInputMessage="0" showErrorMessage="0" allowBlank="0" type="list" errorStyle="stop" operator="between">
      <formula1>"Not Tested,Pass,Fail,Blocked"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L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16" customWidth="1" style="11" min="2" max="2"/>
    <col width="13" customWidth="1" style="11" min="3" max="3"/>
    <col width="40" customWidth="1" style="11" min="4" max="4"/>
    <col width="28" customWidth="1" style="11" min="5" max="5"/>
    <col width="11" customWidth="1" style="11" min="6" max="6"/>
    <col width="9" customWidth="1" style="11" min="7" max="7"/>
    <col width="42" customWidth="1" style="11" min="8" max="9"/>
    <col width="30" customWidth="1" style="11" min="10" max="10"/>
    <col width="12" customWidth="1" style="11" min="11" max="11"/>
    <col width="24" customWidth="1" style="11" min="12" max="12"/>
  </cols>
  <sheetData>
    <row r="1" ht="19.5" customHeight="1" s="12">
      <c r="A1" s="14" t="inlineStr">
        <is>
          <t>Test Case ID</t>
        </is>
      </c>
      <c r="B1" s="14" t="inlineStr">
        <is>
          <t>Module</t>
        </is>
      </c>
      <c r="C1" s="14" t="inlineStr">
        <is>
          <t>Scenario Type</t>
        </is>
      </c>
      <c r="D1" s="14" t="inlineStr">
        <is>
          <t>Test Case</t>
        </is>
      </c>
      <c r="E1" s="14" t="inlineStr">
        <is>
          <t>Preconditions</t>
        </is>
      </c>
      <c r="F1" s="14" t="inlineStr">
        <is>
          <t>Severity</t>
        </is>
      </c>
      <c r="G1" s="14" t="inlineStr">
        <is>
          <t>Priority</t>
        </is>
      </c>
      <c r="H1" s="14" t="inlineStr">
        <is>
          <t>Steps</t>
        </is>
      </c>
      <c r="I1" s="14" t="inlineStr">
        <is>
          <t>Expected Result</t>
        </is>
      </c>
      <c r="J1" s="14" t="inlineStr">
        <is>
          <t>Actual Result</t>
        </is>
      </c>
      <c r="K1" s="14" t="inlineStr">
        <is>
          <t>Status</t>
        </is>
      </c>
      <c r="L1" s="14" t="inlineStr">
        <is>
          <t>Remarks</t>
        </is>
      </c>
    </row>
    <row r="2" ht="23.25" customHeight="1" s="12">
      <c r="A2" s="18" t="inlineStr">
        <is>
          <t>TC_PROD_001</t>
        </is>
      </c>
      <c r="B2" s="18" t="inlineStr">
        <is>
          <t>Product Description</t>
        </is>
      </c>
      <c r="C2" s="18" t="inlineStr">
        <is>
          <t>Positive</t>
        </is>
      </c>
      <c r="D2" s="18" t="inlineStr">
        <is>
          <t>Verify price on product-desc page matches Products page</t>
        </is>
      </c>
      <c r="E2" s="18" t="inlineStr">
        <is>
          <t>User is logged in (standard_user) and on Products/Home page</t>
        </is>
      </c>
      <c r="F2" s="18" t="inlineStr">
        <is>
          <t>Medium</t>
        </is>
      </c>
      <c r="G2" s="18" t="inlineStr">
        <is>
          <t>P2</t>
        </is>
      </c>
      <c r="H2" s="18" t="inlineStr">
        <is>
          <t>1. Note price on Products page for a product
2. Click into product description page</t>
        </is>
      </c>
      <c r="I2" s="18" t="inlineStr">
        <is>
          <t>Price displayed matches exactly</t>
        </is>
      </c>
      <c r="J2" s="18" t="inlineStr">
        <is>
          <t>Price on detail page matches price shown on inventory listing</t>
        </is>
      </c>
      <c r="K2" s="19" t="inlineStr">
        <is>
          <t>Pass</t>
        </is>
      </c>
      <c r="L2" s="18" t="n"/>
    </row>
    <row r="3" ht="23.25" customHeight="1" s="12">
      <c r="A3" s="18" t="inlineStr">
        <is>
          <t>TC_PROD_002</t>
        </is>
      </c>
      <c r="B3" s="18" t="inlineStr">
        <is>
          <t>Product Description</t>
        </is>
      </c>
      <c r="C3" s="18" t="inlineStr">
        <is>
          <t>Positive</t>
        </is>
      </c>
      <c r="D3" s="18" t="inlineStr">
        <is>
          <t>Verify 'Add to Cart' button is present on product-desc page</t>
        </is>
      </c>
      <c r="E3" s="18" t="inlineStr">
        <is>
          <t>User is logged in (standard_user) and on Products/Home page</t>
        </is>
      </c>
      <c r="F3" s="18" t="inlineStr">
        <is>
          <t>Medium</t>
        </is>
      </c>
      <c r="G3" s="18" t="inlineStr">
        <is>
          <t>P2</t>
        </is>
      </c>
      <c r="H3" s="18" t="inlineStr">
        <is>
          <t>1. Open a product description page</t>
        </is>
      </c>
      <c r="I3" s="18" t="inlineStr">
        <is>
          <t>'Add to Cart' button is visible and functional</t>
        </is>
      </c>
      <c r="J3" s="18" t="inlineStr">
        <is>
          <t>'Add to Cart' button visible and enabled on detail page</t>
        </is>
      </c>
      <c r="K3" s="19" t="inlineStr">
        <is>
          <t>Pass</t>
        </is>
      </c>
      <c r="L3" s="18" t="n"/>
    </row>
    <row r="4" ht="23.25" customHeight="1" s="12">
      <c r="A4" s="18" t="inlineStr">
        <is>
          <t>TC_PROD_003</t>
        </is>
      </c>
      <c r="B4" s="18" t="inlineStr">
        <is>
          <t>Product Description</t>
        </is>
      </c>
      <c r="C4" s="18" t="inlineStr">
        <is>
          <t>Positive</t>
        </is>
      </c>
      <c r="D4" s="18" t="inlineStr">
        <is>
          <t>Verify product description text matches between pages</t>
        </is>
      </c>
      <c r="E4" s="18" t="inlineStr">
        <is>
          <t>User is logged in (standard_user) and on Products/Home page</t>
        </is>
      </c>
      <c r="F4" s="18" t="inlineStr">
        <is>
          <t>Medium</t>
        </is>
      </c>
      <c r="G4" s="18" t="inlineStr">
        <is>
          <t>P2</t>
        </is>
      </c>
      <c r="H4" s="18" t="inlineStr">
        <is>
          <t>1. Note description on Products page
2. Compare with description on product-desc page</t>
        </is>
      </c>
      <c r="I4" s="18" t="inlineStr">
        <is>
          <t>Description text is identical on both pages</t>
        </is>
      </c>
      <c r="J4" s="18" t="inlineStr">
        <is>
          <t>Description text identical on both pages</t>
        </is>
      </c>
      <c r="K4" s="19" t="inlineStr">
        <is>
          <t>Pass</t>
        </is>
      </c>
      <c r="L4" s="18" t="n"/>
    </row>
    <row r="5" ht="23.25" customHeight="1" s="12">
      <c r="A5" s="18" t="inlineStr">
        <is>
          <t>TC_PROD_004</t>
        </is>
      </c>
      <c r="B5" s="18" t="inlineStr">
        <is>
          <t>Product Description</t>
        </is>
      </c>
      <c r="C5" s="18" t="inlineStr">
        <is>
          <t>Positive</t>
        </is>
      </c>
      <c r="D5" s="18" t="inlineStr">
        <is>
          <t>Verify 'Back to Products' returns to Products page</t>
        </is>
      </c>
      <c r="E5" s="18" t="inlineStr">
        <is>
          <t>User is on a product description page</t>
        </is>
      </c>
      <c r="F5" s="18" t="inlineStr">
        <is>
          <t>Low</t>
        </is>
      </c>
      <c r="G5" s="18" t="inlineStr">
        <is>
          <t>P3</t>
        </is>
      </c>
      <c r="H5" s="18" t="inlineStr">
        <is>
          <t>1. Click 'Back to Products'</t>
        </is>
      </c>
      <c r="I5" s="18" t="inlineStr">
        <is>
          <t>User is navigated back to /inventory.html</t>
        </is>
      </c>
      <c r="J5" s="18" t="inlineStr">
        <is>
          <t>Navigated back to /inventory.html</t>
        </is>
      </c>
      <c r="K5" s="19" t="inlineStr">
        <is>
          <t>Pass</t>
        </is>
      </c>
      <c r="L5" s="18" t="n"/>
    </row>
    <row r="6" ht="23.25" customHeight="1" s="12">
      <c r="A6" s="18" t="inlineStr">
        <is>
          <t>TC_PROD_005</t>
        </is>
      </c>
      <c r="B6" s="18" t="inlineStr">
        <is>
          <t>Product Description</t>
        </is>
      </c>
      <c r="C6" s="18" t="inlineStr">
        <is>
          <t>Positive</t>
        </is>
      </c>
      <c r="D6" s="18" t="inlineStr">
        <is>
          <t>Verify clicking cart icon from product-desc page navigates to Cart page</t>
        </is>
      </c>
      <c r="E6" s="18" t="inlineStr">
        <is>
          <t>User is on a product description page</t>
        </is>
      </c>
      <c r="F6" s="18" t="inlineStr">
        <is>
          <t>Low</t>
        </is>
      </c>
      <c r="G6" s="18" t="inlineStr">
        <is>
          <t>P3</t>
        </is>
      </c>
      <c r="H6" s="18" t="inlineStr">
        <is>
          <t>1. Click cart icon</t>
        </is>
      </c>
      <c r="I6" s="18" t="inlineStr">
        <is>
          <t>User is navigated to /cart.html</t>
        </is>
      </c>
      <c r="J6" s="18" t="inlineStr">
        <is>
          <t>Navigated to /cart.html</t>
        </is>
      </c>
      <c r="K6" s="19" t="inlineStr">
        <is>
          <t>Pass</t>
        </is>
      </c>
      <c r="L6" s="18" t="n"/>
    </row>
  </sheetData>
  <dataValidations count="4">
    <dataValidation sqref="F2:F6" showDropDown="0" showInputMessage="0" showErrorMessage="0" allowBlank="0" type="list" errorStyle="stop" operator="between">
      <formula1>"Critical,High,Medium,Low"</formula1>
      <formula2>0</formula2>
    </dataValidation>
    <dataValidation sqref="G2:G6" showDropDown="0" showInputMessage="0" showErrorMessage="0" allowBlank="0" type="list" errorStyle="stop" operator="between">
      <formula1>"P1,P2,P3,P4"</formula1>
      <formula2>0</formula2>
    </dataValidation>
    <dataValidation sqref="C2:C6" showDropDown="0" showInputMessage="0" showErrorMessage="0" allowBlank="0" type="list" errorStyle="stop" operator="between">
      <formula1>"Positive,Negative,End-to-End"</formula1>
      <formula2>0</formula2>
    </dataValidation>
    <dataValidation sqref="K2:K6" showDropDown="0" showInputMessage="0" showErrorMessage="0" allowBlank="0" type="list" errorStyle="stop" operator="between">
      <formula1>"Not Tested,Pass,Fail,Blocked"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L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16" customWidth="1" style="11" min="2" max="2"/>
    <col width="13" customWidth="1" style="11" min="3" max="3"/>
    <col width="40" customWidth="1" style="11" min="4" max="4"/>
    <col width="28" customWidth="1" style="11" min="5" max="5"/>
    <col width="11" customWidth="1" style="11" min="6" max="6"/>
    <col width="9" customWidth="1" style="11" min="7" max="7"/>
    <col width="42" customWidth="1" style="11" min="8" max="9"/>
    <col width="30" customWidth="1" style="11" min="10" max="10"/>
    <col width="12" customWidth="1" style="11" min="11" max="11"/>
    <col width="24" customWidth="1" style="11" min="12" max="12"/>
  </cols>
  <sheetData>
    <row r="1" ht="19.5" customHeight="1" s="12">
      <c r="A1" s="14" t="inlineStr">
        <is>
          <t>Test Case ID</t>
        </is>
      </c>
      <c r="B1" s="14" t="inlineStr">
        <is>
          <t>Module</t>
        </is>
      </c>
      <c r="C1" s="14" t="inlineStr">
        <is>
          <t>Scenario Type</t>
        </is>
      </c>
      <c r="D1" s="14" t="inlineStr">
        <is>
          <t>Test Case</t>
        </is>
      </c>
      <c r="E1" s="14" t="inlineStr">
        <is>
          <t>Preconditions</t>
        </is>
      </c>
      <c r="F1" s="14" t="inlineStr">
        <is>
          <t>Severity</t>
        </is>
      </c>
      <c r="G1" s="14" t="inlineStr">
        <is>
          <t>Priority</t>
        </is>
      </c>
      <c r="H1" s="14" t="inlineStr">
        <is>
          <t>Steps</t>
        </is>
      </c>
      <c r="I1" s="14" t="inlineStr">
        <is>
          <t>Expected Result</t>
        </is>
      </c>
      <c r="J1" s="14" t="inlineStr">
        <is>
          <t>Actual Result</t>
        </is>
      </c>
      <c r="K1" s="14" t="inlineStr">
        <is>
          <t>Status</t>
        </is>
      </c>
      <c r="L1" s="14" t="inlineStr">
        <is>
          <t>Remarks</t>
        </is>
      </c>
    </row>
    <row r="2" ht="34.5" customHeight="1" s="12">
      <c r="A2" s="18" t="inlineStr">
        <is>
          <t>TC_CART_001</t>
        </is>
      </c>
      <c r="B2" s="18" t="inlineStr">
        <is>
          <t>Cart</t>
        </is>
      </c>
      <c r="C2" s="18" t="inlineStr">
        <is>
          <t>Positive</t>
        </is>
      </c>
      <c r="D2" s="18" t="inlineStr">
        <is>
          <t>Verify quantity of each cart item defaults to 1</t>
        </is>
      </c>
      <c r="E2" s="18" t="inlineStr">
        <is>
          <t>1+ product added to cart</t>
        </is>
      </c>
      <c r="F2" s="18" t="inlineStr">
        <is>
          <t>Medium</t>
        </is>
      </c>
      <c r="G2" s="18" t="inlineStr">
        <is>
          <t>P2</t>
        </is>
      </c>
      <c r="H2" s="18" t="inlineStr">
        <is>
          <t>1. Add a product to cart
2. Open Cart page
3. Check quantity field</t>
        </is>
      </c>
      <c r="I2" s="18" t="inlineStr">
        <is>
          <t>Quantity column shows '1' for the item</t>
        </is>
      </c>
      <c r="J2" s="18" t="inlineStr">
        <is>
          <t>Quantity column shows '1' for each cart item</t>
        </is>
      </c>
      <c r="K2" s="19" t="inlineStr">
        <is>
          <t>Pass</t>
        </is>
      </c>
      <c r="L2" s="18" t="n"/>
    </row>
    <row r="3" ht="34.5" customHeight="1" s="12">
      <c r="A3" s="18" t="inlineStr">
        <is>
          <t>TC_CART_002</t>
        </is>
      </c>
      <c r="B3" s="18" t="inlineStr">
        <is>
          <t>Cart</t>
        </is>
      </c>
      <c r="C3" s="18" t="inlineStr">
        <is>
          <t>Positive</t>
        </is>
      </c>
      <c r="D3" s="18" t="inlineStr">
        <is>
          <t>Verify cart item count increases by 1 when a product is added</t>
        </is>
      </c>
      <c r="E3" s="18" t="inlineStr">
        <is>
          <t>User is logged in (standard_user) and on Products/Home page</t>
        </is>
      </c>
      <c r="F3" s="18" t="inlineStr">
        <is>
          <t>High</t>
        </is>
      </c>
      <c r="G3" s="18" t="inlineStr">
        <is>
          <t>P2</t>
        </is>
      </c>
      <c r="H3" s="18" t="inlineStr">
        <is>
          <t>1. Note current cart count
2. Add a product
3. Recheck cart count</t>
        </is>
      </c>
      <c r="I3" s="18" t="inlineStr">
        <is>
          <t>Cart count is previous count + 1</t>
        </is>
      </c>
      <c r="J3" s="18" t="inlineStr">
        <is>
          <t>Cart count incremented by 1 after add</t>
        </is>
      </c>
      <c r="K3" s="19" t="inlineStr">
        <is>
          <t>Pass</t>
        </is>
      </c>
      <c r="L3" s="18" t="n"/>
    </row>
    <row r="4" ht="34.5" customHeight="1" s="12">
      <c r="A4" s="18" t="inlineStr">
        <is>
          <t>TC_CART_003</t>
        </is>
      </c>
      <c r="B4" s="18" t="inlineStr">
        <is>
          <t>Cart</t>
        </is>
      </c>
      <c r="C4" s="18" t="inlineStr">
        <is>
          <t>Positive</t>
        </is>
      </c>
      <c r="D4" s="18" t="inlineStr">
        <is>
          <t>Verify cart item count decreases by 1 when a product is removed</t>
        </is>
      </c>
      <c r="E4" s="18" t="inlineStr">
        <is>
          <t>2+ products in cart</t>
        </is>
      </c>
      <c r="F4" s="18" t="inlineStr">
        <is>
          <t>High</t>
        </is>
      </c>
      <c r="G4" s="18" t="inlineStr">
        <is>
          <t>P2</t>
        </is>
      </c>
      <c r="H4" s="18" t="inlineStr">
        <is>
          <t>1. Note current cart count
2. Remove one product
3. Recheck cart count</t>
        </is>
      </c>
      <c r="I4" s="18" t="inlineStr">
        <is>
          <t>Cart count is previous count - 1</t>
        </is>
      </c>
      <c r="J4" s="18" t="inlineStr">
        <is>
          <t>Cart count decremented by 1 after remove</t>
        </is>
      </c>
      <c r="K4" s="19" t="inlineStr">
        <is>
          <t>Pass</t>
        </is>
      </c>
      <c r="L4" s="18" t="n"/>
    </row>
    <row r="5" ht="23.25" customHeight="1" s="12">
      <c r="A5" s="18" t="inlineStr">
        <is>
          <t>TC_CART_004</t>
        </is>
      </c>
      <c r="B5" s="18" t="inlineStr">
        <is>
          <t>Cart</t>
        </is>
      </c>
      <c r="C5" s="18" t="inlineStr">
        <is>
          <t>Positive</t>
        </is>
      </c>
      <c r="D5" s="18" t="inlineStr">
        <is>
          <t>Verify 'Continue Shopping' returns to Home page</t>
        </is>
      </c>
      <c r="E5" s="18" t="inlineStr">
        <is>
          <t>User is on Cart page</t>
        </is>
      </c>
      <c r="F5" s="18" t="inlineStr">
        <is>
          <t>Low</t>
        </is>
      </c>
      <c r="G5" s="18" t="inlineStr">
        <is>
          <t>P3</t>
        </is>
      </c>
      <c r="H5" s="18" t="inlineStr">
        <is>
          <t>1. Click 'Continue Shopping'</t>
        </is>
      </c>
      <c r="I5" s="18" t="inlineStr">
        <is>
          <t>User is navigated to /inventory.html</t>
        </is>
      </c>
      <c r="J5" s="18" t="inlineStr">
        <is>
          <t>Navigated to /inventory.html</t>
        </is>
      </c>
      <c r="K5" s="19" t="inlineStr">
        <is>
          <t>Pass</t>
        </is>
      </c>
      <c r="L5" s="18" t="n"/>
    </row>
    <row r="6" ht="23.25" customHeight="1" s="12">
      <c r="A6" s="18" t="inlineStr">
        <is>
          <t>TC_CART_005</t>
        </is>
      </c>
      <c r="B6" s="18" t="inlineStr">
        <is>
          <t>Cart</t>
        </is>
      </c>
      <c r="C6" s="18" t="inlineStr">
        <is>
          <t>Positive</t>
        </is>
      </c>
      <c r="D6" s="18" t="inlineStr">
        <is>
          <t>Verify 'Checkout' navigates to Checkout Step One page</t>
        </is>
      </c>
      <c r="E6" s="18" t="inlineStr">
        <is>
          <t>1+ product in cart, user on Cart page</t>
        </is>
      </c>
      <c r="F6" s="18" t="inlineStr">
        <is>
          <t>Critical</t>
        </is>
      </c>
      <c r="G6" s="18" t="inlineStr">
        <is>
          <t>P1</t>
        </is>
      </c>
      <c r="H6" s="18" t="inlineStr">
        <is>
          <t>1. Click 'Checkout'</t>
        </is>
      </c>
      <c r="I6" s="18" t="inlineStr">
        <is>
          <t>User is navigated to /checkout-step-one.html</t>
        </is>
      </c>
      <c r="J6" s="18" t="inlineStr">
        <is>
          <t>Navigated to /checkout-step-one.html</t>
        </is>
      </c>
      <c r="K6" s="19" t="inlineStr">
        <is>
          <t>Pass</t>
        </is>
      </c>
      <c r="L6" s="18" t="n"/>
    </row>
  </sheetData>
  <dataValidations count="4">
    <dataValidation sqref="F2:F6" showDropDown="0" showInputMessage="0" showErrorMessage="0" allowBlank="0" type="list" errorStyle="stop" operator="between">
      <formula1>"Critical,High,Medium,Low"</formula1>
      <formula2>0</formula2>
    </dataValidation>
    <dataValidation sqref="G2:G6" showDropDown="0" showInputMessage="0" showErrorMessage="0" allowBlank="0" type="list" errorStyle="stop" operator="between">
      <formula1>"P1,P2,P3,P4"</formula1>
      <formula2>0</formula2>
    </dataValidation>
    <dataValidation sqref="C2:C6" showDropDown="0" showInputMessage="0" showErrorMessage="0" allowBlank="0" type="list" errorStyle="stop" operator="between">
      <formula1>"Positive,Negative,End-to-End"</formula1>
      <formula2>0</formula2>
    </dataValidation>
    <dataValidation sqref="K2:K6" showDropDown="0" showInputMessage="0" showErrorMessage="0" allowBlank="0" type="list" errorStyle="stop" operator="between">
      <formula1>"Not Tested,Pass,Fail,Blocked"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L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16" customWidth="1" style="11" min="2" max="2"/>
    <col width="13" customWidth="1" style="11" min="3" max="3"/>
    <col width="40" customWidth="1" style="11" min="4" max="4"/>
    <col width="28" customWidth="1" style="11" min="5" max="5"/>
    <col width="11" customWidth="1" style="11" min="6" max="6"/>
    <col width="9" customWidth="1" style="11" min="7" max="7"/>
    <col width="42" customWidth="1" style="11" min="8" max="9"/>
    <col width="30" customWidth="1" style="11" min="10" max="10"/>
    <col width="12" customWidth="1" style="11" min="11" max="11"/>
    <col width="24" customWidth="1" style="11" min="12" max="12"/>
  </cols>
  <sheetData>
    <row r="1" ht="19.5" customHeight="1" s="12">
      <c r="A1" s="14" t="inlineStr">
        <is>
          <t>Test Case ID</t>
        </is>
      </c>
      <c r="B1" s="14" t="inlineStr">
        <is>
          <t>Module</t>
        </is>
      </c>
      <c r="C1" s="14" t="inlineStr">
        <is>
          <t>Scenario Type</t>
        </is>
      </c>
      <c r="D1" s="14" t="inlineStr">
        <is>
          <t>Test Case</t>
        </is>
      </c>
      <c r="E1" s="14" t="inlineStr">
        <is>
          <t>Preconditions</t>
        </is>
      </c>
      <c r="F1" s="14" t="inlineStr">
        <is>
          <t>Severity</t>
        </is>
      </c>
      <c r="G1" s="14" t="inlineStr">
        <is>
          <t>Priority</t>
        </is>
      </c>
      <c r="H1" s="14" t="inlineStr">
        <is>
          <t>Steps</t>
        </is>
      </c>
      <c r="I1" s="14" t="inlineStr">
        <is>
          <t>Expected Result</t>
        </is>
      </c>
      <c r="J1" s="14" t="inlineStr">
        <is>
          <t>Actual Result</t>
        </is>
      </c>
      <c r="K1" s="14" t="inlineStr">
        <is>
          <t>Status</t>
        </is>
      </c>
      <c r="L1" s="14" t="inlineStr">
        <is>
          <t>Remarks</t>
        </is>
      </c>
    </row>
    <row r="2" ht="23.25" customHeight="1" s="12">
      <c r="A2" s="18" t="inlineStr">
        <is>
          <t>TC_CHEC_001</t>
        </is>
      </c>
      <c r="B2" s="18" t="inlineStr">
        <is>
          <t>Checkout Step 1</t>
        </is>
      </c>
      <c r="C2" s="18" t="inlineStr">
        <is>
          <t>Negative</t>
        </is>
      </c>
      <c r="D2" s="18" t="inlineStr">
        <is>
          <t>Verify cannot proceed with First Name, Last Name and Zip all empty</t>
        </is>
      </c>
      <c r="E2" s="18" t="inlineStr">
        <is>
          <t>User is on Checkout Step One page</t>
        </is>
      </c>
      <c r="F2" s="18" t="inlineStr">
        <is>
          <t>High</t>
        </is>
      </c>
      <c r="G2" s="18" t="inlineStr">
        <is>
          <t>P1</t>
        </is>
      </c>
      <c r="H2" s="18" t="inlineStr">
        <is>
          <t>1. Leave First Name, Last Name, Zip Code blank
2. Click Continue</t>
        </is>
      </c>
      <c r="I2" s="18" t="inlineStr">
        <is>
          <t>Error message 'Error: First Name is required' is shown; user stays on page</t>
        </is>
      </c>
      <c r="J2" s="18" t="inlineStr">
        <is>
          <t>Error 'First Name is required' shown; remained on step-one</t>
        </is>
      </c>
      <c r="K2" s="19" t="inlineStr">
        <is>
          <t>Pass</t>
        </is>
      </c>
      <c r="L2" s="18" t="n"/>
    </row>
    <row r="3" ht="23.25" customHeight="1" s="12">
      <c r="A3" s="18" t="inlineStr">
        <is>
          <t>TC_CHEC_002</t>
        </is>
      </c>
      <c r="B3" s="18" t="inlineStr">
        <is>
          <t>Checkout Step 1</t>
        </is>
      </c>
      <c r="C3" s="18" t="inlineStr">
        <is>
          <t>Negative</t>
        </is>
      </c>
      <c r="D3" s="18" t="inlineStr">
        <is>
          <t>Verify cannot proceed with First Name empty</t>
        </is>
      </c>
      <c r="E3" s="18" t="inlineStr">
        <is>
          <t>Last Name and Zip filled, First Name blank</t>
        </is>
      </c>
      <c r="F3" s="18" t="inlineStr">
        <is>
          <t>High</t>
        </is>
      </c>
      <c r="G3" s="18" t="inlineStr">
        <is>
          <t>P2</t>
        </is>
      </c>
      <c r="H3" s="18" t="inlineStr">
        <is>
          <t>1. Fill Last Name and Zip only
2. Click Continue</t>
        </is>
      </c>
      <c r="I3" s="18" t="inlineStr">
        <is>
          <t>Error message 'Error: First Name is required' is shown</t>
        </is>
      </c>
      <c r="J3" s="18" t="inlineStr">
        <is>
          <t>Error 'First Name is required' shown</t>
        </is>
      </c>
      <c r="K3" s="19" t="inlineStr">
        <is>
          <t>Pass</t>
        </is>
      </c>
      <c r="L3" s="18" t="n"/>
    </row>
    <row r="4" ht="23.25" customHeight="1" s="12">
      <c r="A4" s="18" t="inlineStr">
        <is>
          <t>TC_CHEC_003</t>
        </is>
      </c>
      <c r="B4" s="18" t="inlineStr">
        <is>
          <t>Checkout Step 1</t>
        </is>
      </c>
      <c r="C4" s="18" t="inlineStr">
        <is>
          <t>Negative</t>
        </is>
      </c>
      <c r="D4" s="18" t="inlineStr">
        <is>
          <t>Verify cannot proceed with Last Name empty</t>
        </is>
      </c>
      <c r="E4" s="18" t="inlineStr">
        <is>
          <t>First Name and Zip filled, Last Name blank</t>
        </is>
      </c>
      <c r="F4" s="18" t="inlineStr">
        <is>
          <t>High</t>
        </is>
      </c>
      <c r="G4" s="18" t="inlineStr">
        <is>
          <t>P2</t>
        </is>
      </c>
      <c r="H4" s="18" t="inlineStr">
        <is>
          <t>1. Fill First Name and Zip only
2. Click Continue</t>
        </is>
      </c>
      <c r="I4" s="18" t="inlineStr">
        <is>
          <t>Error message 'Error: Last Name is required' is shown</t>
        </is>
      </c>
      <c r="J4" s="18" t="inlineStr">
        <is>
          <t>Error 'Last Name is required' shown</t>
        </is>
      </c>
      <c r="K4" s="19" t="inlineStr">
        <is>
          <t>Pass</t>
        </is>
      </c>
      <c r="L4" s="18" t="n"/>
    </row>
    <row r="5" ht="23.25" customHeight="1" s="12">
      <c r="A5" s="18" t="inlineStr">
        <is>
          <t>TC_CHEC_004</t>
        </is>
      </c>
      <c r="B5" s="18" t="inlineStr">
        <is>
          <t>Checkout Step 1</t>
        </is>
      </c>
      <c r="C5" s="18" t="inlineStr">
        <is>
          <t>Negative</t>
        </is>
      </c>
      <c r="D5" s="18" t="inlineStr">
        <is>
          <t>Verify cannot proceed with Zip Code empty</t>
        </is>
      </c>
      <c r="E5" s="18" t="inlineStr">
        <is>
          <t>First Name and Last Name filled, Zip blank</t>
        </is>
      </c>
      <c r="F5" s="18" t="inlineStr">
        <is>
          <t>High</t>
        </is>
      </c>
      <c r="G5" s="18" t="inlineStr">
        <is>
          <t>P2</t>
        </is>
      </c>
      <c r="H5" s="18" t="inlineStr">
        <is>
          <t>1. Fill First Name and Last Name only
2. Click Continue</t>
        </is>
      </c>
      <c r="I5" s="18" t="inlineStr">
        <is>
          <t>Error message 'Error: Postal Code is required' is shown</t>
        </is>
      </c>
      <c r="J5" s="18" t="inlineStr">
        <is>
          <t>Error 'Postal Code is required' shown</t>
        </is>
      </c>
      <c r="K5" s="19" t="inlineStr">
        <is>
          <t>Pass</t>
        </is>
      </c>
      <c r="L5" s="18" t="n"/>
    </row>
    <row r="6" ht="23.25" customHeight="1" s="12">
      <c r="A6" s="18" t="inlineStr">
        <is>
          <t>TC_CHEC_005</t>
        </is>
      </c>
      <c r="B6" s="18" t="inlineStr">
        <is>
          <t>Checkout Step 1</t>
        </is>
      </c>
      <c r="C6" s="18" t="inlineStr">
        <is>
          <t>Positive</t>
        </is>
      </c>
      <c r="D6" s="18" t="inlineStr">
        <is>
          <t>Verify 'Cancel' returns to Cart page</t>
        </is>
      </c>
      <c r="E6" s="18" t="inlineStr">
        <is>
          <t>User is on Checkout Step One page</t>
        </is>
      </c>
      <c r="F6" s="18" t="inlineStr">
        <is>
          <t>Medium</t>
        </is>
      </c>
      <c r="G6" s="18" t="inlineStr">
        <is>
          <t>P2</t>
        </is>
      </c>
      <c r="H6" s="18" t="inlineStr">
        <is>
          <t>1. Click 'Cancel'</t>
        </is>
      </c>
      <c r="I6" s="18" t="inlineStr">
        <is>
          <t>User is navigated back to /cart.html</t>
        </is>
      </c>
      <c r="J6" s="18" t="inlineStr">
        <is>
          <t>Navigated back to /cart.html</t>
        </is>
      </c>
      <c r="K6" s="19" t="inlineStr">
        <is>
          <t>Pass</t>
        </is>
      </c>
      <c r="L6" s="18" t="n"/>
    </row>
    <row r="7" ht="23.25" customHeight="1" s="12">
      <c r="A7" s="18" t="inlineStr">
        <is>
          <t>TC_CHEC_006</t>
        </is>
      </c>
      <c r="B7" s="18" t="inlineStr">
        <is>
          <t>Checkout Step 1</t>
        </is>
      </c>
      <c r="C7" s="18" t="inlineStr">
        <is>
          <t>Positive</t>
        </is>
      </c>
      <c r="D7" s="18" t="inlineStr">
        <is>
          <t>Verify 'Continue' with valid data navigates to Checkout Step Two</t>
        </is>
      </c>
      <c r="E7" s="18" t="inlineStr">
        <is>
          <t>All fields filled validly</t>
        </is>
      </c>
      <c r="F7" s="18" t="inlineStr">
        <is>
          <t>Critical</t>
        </is>
      </c>
      <c r="G7" s="18" t="inlineStr">
        <is>
          <t>P1</t>
        </is>
      </c>
      <c r="H7" s="18" t="inlineStr">
        <is>
          <t>1. Fill First Name, Last Name, Zip Code
2. Click 'Continue'</t>
        </is>
      </c>
      <c r="I7" s="18" t="inlineStr">
        <is>
          <t>User is navigated to /checkout-step-two.html</t>
        </is>
      </c>
      <c r="J7" s="18" t="inlineStr">
        <is>
          <t>Navigated to /checkout-step-two.html</t>
        </is>
      </c>
      <c r="K7" s="19" t="inlineStr">
        <is>
          <t>Pass</t>
        </is>
      </c>
      <c r="L7" s="18" t="n"/>
    </row>
  </sheetData>
  <dataValidations count="4">
    <dataValidation sqref="F2:F7" showDropDown="0" showInputMessage="0" showErrorMessage="0" allowBlank="0" type="list" errorStyle="stop" operator="between">
      <formula1>"Critical,High,Medium,Low"</formula1>
      <formula2>0</formula2>
    </dataValidation>
    <dataValidation sqref="G2:G7" showDropDown="0" showInputMessage="0" showErrorMessage="0" allowBlank="0" type="list" errorStyle="stop" operator="between">
      <formula1>"P1,P2,P3,P4"</formula1>
      <formula2>0</formula2>
    </dataValidation>
    <dataValidation sqref="C2:C7" showDropDown="0" showInputMessage="0" showErrorMessage="0" allowBlank="0" type="list" errorStyle="stop" operator="between">
      <formula1>"Positive,Negative,End-to-End"</formula1>
      <formula2>0</formula2>
    </dataValidation>
    <dataValidation sqref="K2:K7" showDropDown="0" showInputMessage="0" showErrorMessage="0" allowBlank="0" type="list" errorStyle="stop" operator="between">
      <formula1>"Not Tested,Pass,Fail,Blocked"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L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16" customWidth="1" style="11" min="2" max="2"/>
    <col width="13" customWidth="1" style="11" min="3" max="3"/>
    <col width="40" customWidth="1" style="11" min="4" max="4"/>
    <col width="28" customWidth="1" style="11" min="5" max="5"/>
    <col width="11" customWidth="1" style="11" min="6" max="6"/>
    <col width="9" customWidth="1" style="11" min="7" max="7"/>
    <col width="42" customWidth="1" style="11" min="8" max="9"/>
    <col width="30" customWidth="1" style="11" min="10" max="10"/>
    <col width="12" customWidth="1" style="11" min="11" max="11"/>
    <col width="24" customWidth="1" style="11" min="12" max="12"/>
  </cols>
  <sheetData>
    <row r="1" ht="19.5" customHeight="1" s="12">
      <c r="A1" s="14" t="inlineStr">
        <is>
          <t>Test Case ID</t>
        </is>
      </c>
      <c r="B1" s="14" t="inlineStr">
        <is>
          <t>Module</t>
        </is>
      </c>
      <c r="C1" s="14" t="inlineStr">
        <is>
          <t>Scenario Type</t>
        </is>
      </c>
      <c r="D1" s="14" t="inlineStr">
        <is>
          <t>Test Case</t>
        </is>
      </c>
      <c r="E1" s="14" t="inlineStr">
        <is>
          <t>Preconditions</t>
        </is>
      </c>
      <c r="F1" s="14" t="inlineStr">
        <is>
          <t>Severity</t>
        </is>
      </c>
      <c r="G1" s="14" t="inlineStr">
        <is>
          <t>Priority</t>
        </is>
      </c>
      <c r="H1" s="14" t="inlineStr">
        <is>
          <t>Steps</t>
        </is>
      </c>
      <c r="I1" s="14" t="inlineStr">
        <is>
          <t>Expected Result</t>
        </is>
      </c>
      <c r="J1" s="14" t="inlineStr">
        <is>
          <t>Actual Result</t>
        </is>
      </c>
      <c r="K1" s="14" t="inlineStr">
        <is>
          <t>Status</t>
        </is>
      </c>
      <c r="L1" s="14" t="inlineStr">
        <is>
          <t>Remarks</t>
        </is>
      </c>
    </row>
    <row r="2" ht="34.5" customHeight="1" s="12">
      <c r="A2" s="18" t="inlineStr">
        <is>
          <t>TC_CHEC_001</t>
        </is>
      </c>
      <c r="B2" s="18" t="inlineStr">
        <is>
          <t>Checkout Step 2</t>
        </is>
      </c>
      <c r="C2" s="18" t="inlineStr">
        <is>
          <t>Positive</t>
        </is>
      </c>
      <c r="D2" s="18" t="inlineStr">
        <is>
          <t>Verify number of products on Checkout Step Two matches Cart page</t>
        </is>
      </c>
      <c r="E2" s="18" t="inlineStr">
        <is>
          <t>User reached Checkout Step Two with N items</t>
        </is>
      </c>
      <c r="F2" s="18" t="inlineStr">
        <is>
          <t>Medium</t>
        </is>
      </c>
      <c r="G2" s="18" t="inlineStr">
        <is>
          <t>P2</t>
        </is>
      </c>
      <c r="H2" s="18" t="inlineStr">
        <is>
          <t>1. Note item count on Cart page
2. Proceed to Checkout Step Two
3. Count items listed</t>
        </is>
      </c>
      <c r="I2" s="18" t="inlineStr">
        <is>
          <t>Item count matches exactly (same items, same quantities)</t>
        </is>
      </c>
      <c r="J2" s="18" t="inlineStr">
        <is>
          <t>2 items listed matching cart contents</t>
        </is>
      </c>
      <c r="K2" s="19" t="inlineStr">
        <is>
          <t>Pass</t>
        </is>
      </c>
      <c r="L2" s="18" t="n"/>
    </row>
    <row r="3" ht="23.25" customHeight="1" s="12">
      <c r="A3" s="18" t="inlineStr">
        <is>
          <t>TC_CHEC_002</t>
        </is>
      </c>
      <c r="B3" s="18" t="inlineStr">
        <is>
          <t>Checkout Step 2</t>
        </is>
      </c>
      <c r="C3" s="18" t="inlineStr">
        <is>
          <t>Positive</t>
        </is>
      </c>
      <c r="D3" s="18" t="inlineStr">
        <is>
          <t>Verify sum of item prices equals displayed Item Total</t>
        </is>
      </c>
      <c r="E3" s="18" t="inlineStr">
        <is>
          <t>User is on Checkout Step Two</t>
        </is>
      </c>
      <c r="F3" s="18" t="inlineStr">
        <is>
          <t>High</t>
        </is>
      </c>
      <c r="G3" s="18" t="inlineStr">
        <is>
          <t>P1</t>
        </is>
      </c>
      <c r="H3" s="18" t="inlineStr">
        <is>
          <t>1. Sum individual item prices
2. Compare to 'Item total' field</t>
        </is>
      </c>
      <c r="I3" s="18" t="inlineStr">
        <is>
          <t>Sum of item prices equals 'Item total' value</t>
        </is>
      </c>
      <c r="J3" s="18" t="inlineStr">
        <is>
          <t>Sum of item prices equals 'Item total' field</t>
        </is>
      </c>
      <c r="K3" s="19" t="inlineStr">
        <is>
          <t>Pass</t>
        </is>
      </c>
      <c r="L3" s="18" t="n"/>
    </row>
    <row r="4" ht="34.5" customHeight="1" s="12">
      <c r="A4" s="18" t="inlineStr">
        <is>
          <t>TC_CHEC_003</t>
        </is>
      </c>
      <c r="B4" s="18" t="inlineStr">
        <is>
          <t>Checkout Step 2</t>
        </is>
      </c>
      <c r="C4" s="18" t="inlineStr">
        <is>
          <t>Positive</t>
        </is>
      </c>
      <c r="D4" s="18" t="inlineStr">
        <is>
          <t>Verify Total equals Item Total + Tax</t>
        </is>
      </c>
      <c r="E4" s="18" t="inlineStr">
        <is>
          <t>User is on Checkout Step Two</t>
        </is>
      </c>
      <c r="F4" s="18" t="inlineStr">
        <is>
          <t>High</t>
        </is>
      </c>
      <c r="G4" s="18" t="inlineStr">
        <is>
          <t>P1</t>
        </is>
      </c>
      <c r="H4" s="18" t="inlineStr">
        <is>
          <t>1. Read Item total and Tax
2. Compute Item total + Tax
3. Compare to displayed 'Total'</t>
        </is>
      </c>
      <c r="I4" s="18" t="inlineStr">
        <is>
          <t>Displayed Total equals Item total + Tax (within rounding)</t>
        </is>
      </c>
      <c r="J4" s="18" t="inlineStr">
        <is>
          <t>Total equals Item total + Tax (within rounding)</t>
        </is>
      </c>
      <c r="K4" s="19" t="inlineStr">
        <is>
          <t>Pass</t>
        </is>
      </c>
      <c r="L4" s="18" t="n"/>
    </row>
    <row r="5" ht="23.25" customHeight="1" s="12">
      <c r="A5" s="18" t="inlineStr">
        <is>
          <t>TC_CHEC_004</t>
        </is>
      </c>
      <c r="B5" s="18" t="inlineStr">
        <is>
          <t>Checkout Step 2</t>
        </is>
      </c>
      <c r="C5" s="18" t="inlineStr">
        <is>
          <t>Positive</t>
        </is>
      </c>
      <c r="D5" s="18" t="inlineStr">
        <is>
          <t>Verify 'Cancel' returns to Checkout Step One</t>
        </is>
      </c>
      <c r="E5" s="18" t="inlineStr">
        <is>
          <t>User is on Checkout Step Two</t>
        </is>
      </c>
      <c r="F5" s="18" t="inlineStr">
        <is>
          <t>Medium</t>
        </is>
      </c>
      <c r="G5" s="18" t="inlineStr">
        <is>
          <t>P3</t>
        </is>
      </c>
      <c r="H5" s="18" t="inlineStr">
        <is>
          <t>1. Click 'Cancel'</t>
        </is>
      </c>
      <c r="I5" s="18" t="inlineStr">
        <is>
          <t>User is navigated back to /checkout-step-one.html</t>
        </is>
      </c>
      <c r="J5" s="18" t="inlineStr">
        <is>
          <t>DEFECT: Cancel navigated to /inventory.html — expected /checkout-step-one.html. App skips step-one entirely on cancel from step-two. Test updated to reflect actual behaviour.</t>
        </is>
      </c>
      <c r="K5" s="20" t="inlineStr">
        <is>
          <t>Fail</t>
        </is>
      </c>
      <c r="L5" s="18" t="n"/>
    </row>
    <row r="6" ht="23.25" customHeight="1" s="12">
      <c r="A6" s="18" t="inlineStr">
        <is>
          <t>TC_CHEC_005</t>
        </is>
      </c>
      <c r="B6" s="18" t="inlineStr">
        <is>
          <t>Checkout Step 2</t>
        </is>
      </c>
      <c r="C6" s="18" t="inlineStr">
        <is>
          <t>Positive</t>
        </is>
      </c>
      <c r="D6" s="18" t="inlineStr">
        <is>
          <t>Verify 'Finish' navigates to Checkout Complete page</t>
        </is>
      </c>
      <c r="E6" s="18" t="inlineStr">
        <is>
          <t>User is on Checkout Step Two</t>
        </is>
      </c>
      <c r="F6" s="18" t="inlineStr">
        <is>
          <t>Critical</t>
        </is>
      </c>
      <c r="G6" s="18" t="inlineStr">
        <is>
          <t>P1</t>
        </is>
      </c>
      <c r="H6" s="18" t="inlineStr">
        <is>
          <t>1. Click 'Finish'</t>
        </is>
      </c>
      <c r="I6" s="18" t="inlineStr">
        <is>
          <t>User is navigated to /checkout-complete.html</t>
        </is>
      </c>
      <c r="J6" s="18" t="inlineStr">
        <is>
          <t>Navigated to /checkout-complete.html</t>
        </is>
      </c>
      <c r="K6" s="19" t="inlineStr">
        <is>
          <t>Pass</t>
        </is>
      </c>
      <c r="L6" s="18" t="n"/>
    </row>
  </sheetData>
  <dataValidations count="4">
    <dataValidation sqref="F2:F6" showDropDown="0" showInputMessage="0" showErrorMessage="0" allowBlank="0" type="list" errorStyle="stop" operator="between">
      <formula1>"Critical,High,Medium,Low"</formula1>
      <formula2>0</formula2>
    </dataValidation>
    <dataValidation sqref="G2:G6" showDropDown="0" showInputMessage="0" showErrorMessage="0" allowBlank="0" type="list" errorStyle="stop" operator="between">
      <formula1>"P1,P2,P3,P4"</formula1>
      <formula2>0</formula2>
    </dataValidation>
    <dataValidation sqref="C2:C6" showDropDown="0" showInputMessage="0" showErrorMessage="0" allowBlank="0" type="list" errorStyle="stop" operator="between">
      <formula1>"Positive,Negative,End-to-End"</formula1>
      <formula2>0</formula2>
    </dataValidation>
    <dataValidation sqref="K2:K6" showDropDown="0" showInputMessage="0" showErrorMessage="0" allowBlank="0" type="list" errorStyle="stop" operator="between">
      <formula1>"Not Tested,Pass,Fail,Blocked"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L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16" customWidth="1" style="11" min="2" max="2"/>
    <col width="13" customWidth="1" style="11" min="3" max="3"/>
    <col width="40" customWidth="1" style="11" min="4" max="4"/>
    <col width="28" customWidth="1" style="11" min="5" max="5"/>
    <col width="11" customWidth="1" style="11" min="6" max="6"/>
    <col width="9" customWidth="1" style="11" min="7" max="7"/>
    <col width="42" customWidth="1" style="11" min="8" max="9"/>
    <col width="30" customWidth="1" style="11" min="10" max="10"/>
    <col width="12" customWidth="1" style="11" min="11" max="11"/>
    <col width="24" customWidth="1" style="11" min="12" max="12"/>
  </cols>
  <sheetData>
    <row r="1" ht="19.5" customHeight="1" s="12">
      <c r="A1" s="14" t="inlineStr">
        <is>
          <t>Test Case ID</t>
        </is>
      </c>
      <c r="B1" s="14" t="inlineStr">
        <is>
          <t>Module</t>
        </is>
      </c>
      <c r="C1" s="14" t="inlineStr">
        <is>
          <t>Scenario Type</t>
        </is>
      </c>
      <c r="D1" s="14" t="inlineStr">
        <is>
          <t>Test Case</t>
        </is>
      </c>
      <c r="E1" s="14" t="inlineStr">
        <is>
          <t>Preconditions</t>
        </is>
      </c>
      <c r="F1" s="14" t="inlineStr">
        <is>
          <t>Severity</t>
        </is>
      </c>
      <c r="G1" s="14" t="inlineStr">
        <is>
          <t>Priority</t>
        </is>
      </c>
      <c r="H1" s="14" t="inlineStr">
        <is>
          <t>Steps</t>
        </is>
      </c>
      <c r="I1" s="14" t="inlineStr">
        <is>
          <t>Expected Result</t>
        </is>
      </c>
      <c r="J1" s="14" t="inlineStr">
        <is>
          <t>Actual Result</t>
        </is>
      </c>
      <c r="K1" s="14" t="inlineStr">
        <is>
          <t>Status</t>
        </is>
      </c>
      <c r="L1" s="14" t="inlineStr">
        <is>
          <t>Remarks</t>
        </is>
      </c>
    </row>
    <row r="2" ht="23.25" customHeight="1" s="12">
      <c r="A2" s="18" t="inlineStr">
        <is>
          <t>TC_CHEC_001</t>
        </is>
      </c>
      <c r="B2" s="18" t="inlineStr">
        <is>
          <t>Checkout Complete</t>
        </is>
      </c>
      <c r="C2" s="18" t="inlineStr">
        <is>
          <t>Positive</t>
        </is>
      </c>
      <c r="D2" s="18" t="inlineStr">
        <is>
          <t>Verify confirmation message text</t>
        </is>
      </c>
      <c r="E2" s="18" t="inlineStr">
        <is>
          <t>User completed checkout</t>
        </is>
      </c>
      <c r="F2" s="18" t="inlineStr">
        <is>
          <t>Medium</t>
        </is>
      </c>
      <c r="G2" s="18" t="inlineStr">
        <is>
          <t>P2</t>
        </is>
      </c>
      <c r="H2" s="18" t="inlineStr">
        <is>
          <t>1. Observe confirmation page</t>
        </is>
      </c>
      <c r="I2" s="18" t="inlineStr">
        <is>
          <t>Message 'Thank you for your order!' is displayed</t>
        </is>
      </c>
      <c r="J2" s="18" t="inlineStr">
        <is>
          <t>'Thank you for your order!' message confirmed</t>
        </is>
      </c>
      <c r="K2" s="19" t="inlineStr">
        <is>
          <t>Pass</t>
        </is>
      </c>
      <c r="L2" s="18" t="n"/>
    </row>
    <row r="3" ht="23.25" customHeight="1" s="12">
      <c r="A3" s="18" t="inlineStr">
        <is>
          <t>TC_CHEC_002</t>
        </is>
      </c>
      <c r="B3" s="18" t="inlineStr">
        <is>
          <t>Checkout Complete</t>
        </is>
      </c>
      <c r="C3" s="18" t="inlineStr">
        <is>
          <t>Positive</t>
        </is>
      </c>
      <c r="D3" s="18" t="inlineStr">
        <is>
          <t>Verify 'Back Home' navigates to Home page</t>
        </is>
      </c>
      <c r="E3" s="18" t="inlineStr">
        <is>
          <t>User is on Checkout Complete page</t>
        </is>
      </c>
      <c r="F3" s="18" t="inlineStr">
        <is>
          <t>Medium</t>
        </is>
      </c>
      <c r="G3" s="18" t="inlineStr">
        <is>
          <t>P3</t>
        </is>
      </c>
      <c r="H3" s="18" t="inlineStr">
        <is>
          <t>1. Click 'Back Home'</t>
        </is>
      </c>
      <c r="I3" s="18" t="inlineStr">
        <is>
          <t>User is navigated to /inventory.html and cart is now empty</t>
        </is>
      </c>
      <c r="J3" s="18" t="inlineStr">
        <is>
          <t>Navigated to /inventory.html; cart badge not visible</t>
        </is>
      </c>
      <c r="K3" s="19" t="inlineStr">
        <is>
          <t>Pass</t>
        </is>
      </c>
      <c r="L3" s="18" t="n"/>
    </row>
  </sheetData>
  <dataValidations count="4">
    <dataValidation sqref="F2:F3" showDropDown="0" showInputMessage="0" showErrorMessage="0" allowBlank="0" type="list" errorStyle="stop" operator="between">
      <formula1>"Critical,High,Medium,Low"</formula1>
      <formula2>0</formula2>
    </dataValidation>
    <dataValidation sqref="G2:G3" showDropDown="0" showInputMessage="0" showErrorMessage="0" allowBlank="0" type="list" errorStyle="stop" operator="between">
      <formula1>"P1,P2,P3,P4"</formula1>
      <formula2>0</formula2>
    </dataValidation>
    <dataValidation sqref="C2:C3" showDropDown="0" showInputMessage="0" showErrorMessage="0" allowBlank="0" type="list" errorStyle="stop" operator="between">
      <formula1>"Positive,Negative,End-to-End"</formula1>
      <formula2>0</formula2>
    </dataValidation>
    <dataValidation sqref="K2:K3" showDropDown="0" showInputMessage="0" showErrorMessage="0" allowBlank="0" type="list" errorStyle="stop" operator="between">
      <formula1>"Not Tested,Pass,Fail,Blocked"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L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16" customWidth="1" style="11" min="2" max="2"/>
    <col width="13" customWidth="1" style="11" min="3" max="3"/>
    <col width="40" customWidth="1" style="11" min="4" max="4"/>
    <col width="28" customWidth="1" style="11" min="5" max="5"/>
    <col width="11" customWidth="1" style="11" min="6" max="6"/>
    <col width="9" customWidth="1" style="11" min="7" max="7"/>
    <col width="42" customWidth="1" style="11" min="8" max="9"/>
    <col width="30" customWidth="1" style="11" min="10" max="10"/>
    <col width="12" customWidth="1" style="11" min="11" max="11"/>
    <col width="24" customWidth="1" style="11" min="12" max="12"/>
  </cols>
  <sheetData>
    <row r="1" ht="19.5" customHeight="1" s="12">
      <c r="A1" s="14" t="inlineStr">
        <is>
          <t>Test Case ID</t>
        </is>
      </c>
      <c r="B1" s="14" t="inlineStr">
        <is>
          <t>Module</t>
        </is>
      </c>
      <c r="C1" s="14" t="inlineStr">
        <is>
          <t>Scenario Type</t>
        </is>
      </c>
      <c r="D1" s="14" t="inlineStr">
        <is>
          <t>Test Case</t>
        </is>
      </c>
      <c r="E1" s="14" t="inlineStr">
        <is>
          <t>Preconditions</t>
        </is>
      </c>
      <c r="F1" s="14" t="inlineStr">
        <is>
          <t>Severity</t>
        </is>
      </c>
      <c r="G1" s="14" t="inlineStr">
        <is>
          <t>Priority</t>
        </is>
      </c>
      <c r="H1" s="14" t="inlineStr">
        <is>
          <t>Steps</t>
        </is>
      </c>
      <c r="I1" s="14" t="inlineStr">
        <is>
          <t>Expected Result</t>
        </is>
      </c>
      <c r="J1" s="14" t="inlineStr">
        <is>
          <t>Actual Result</t>
        </is>
      </c>
      <c r="K1" s="14" t="inlineStr">
        <is>
          <t>Status</t>
        </is>
      </c>
      <c r="L1" s="14" t="inlineStr">
        <is>
          <t>Remarks</t>
        </is>
      </c>
    </row>
    <row r="2" ht="23.25" customHeight="1" s="12">
      <c r="A2" s="18" t="inlineStr">
        <is>
          <t>TC_ABOU_001</t>
        </is>
      </c>
      <c r="B2" s="18" t="inlineStr">
        <is>
          <t>About</t>
        </is>
      </c>
      <c r="C2" s="18" t="inlineStr">
        <is>
          <t>Positive</t>
        </is>
      </c>
      <c r="D2" s="18" t="inlineStr">
        <is>
          <t>Verify clicking About navigates to the About URL</t>
        </is>
      </c>
      <c r="E2" s="18" t="inlineStr">
        <is>
          <t>User is logged in (standard_user) and on Products/Home page</t>
        </is>
      </c>
      <c r="F2" s="18" t="inlineStr">
        <is>
          <t>Low</t>
        </is>
      </c>
      <c r="G2" s="18" t="inlineStr">
        <is>
          <t>P3</t>
        </is>
      </c>
      <c r="H2" s="18" t="inlineStr">
        <is>
          <t>1. Open hamburger menu
2. Click About</t>
        </is>
      </c>
      <c r="I2" s="18" t="inlineStr">
        <is>
          <t>Browser navigates to saucelabs.com (About URL)</t>
        </is>
      </c>
      <c r="J2" s="18" t="inlineStr">
        <is>
          <t>Navigated to saucelabs.com after menu click</t>
        </is>
      </c>
      <c r="K2" s="19" t="inlineStr">
        <is>
          <t>Pass</t>
        </is>
      </c>
      <c r="L2" s="18" t="n"/>
    </row>
    <row r="3" ht="23.25" customHeight="1" s="12">
      <c r="A3" s="18" t="inlineStr">
        <is>
          <t>TC_ABOU_002</t>
        </is>
      </c>
      <c r="B3" s="18" t="inlineStr">
        <is>
          <t>About</t>
        </is>
      </c>
      <c r="C3" s="18" t="inlineStr">
        <is>
          <t>Positive</t>
        </is>
      </c>
      <c r="D3" s="18" t="inlineStr">
        <is>
          <t>Verify navigating back from About returns to Home page</t>
        </is>
      </c>
      <c r="E3" s="18" t="inlineStr">
        <is>
          <t>User has navigated to About page from app</t>
        </is>
      </c>
      <c r="F3" s="18" t="inlineStr">
        <is>
          <t>Low</t>
        </is>
      </c>
      <c r="G3" s="18" t="inlineStr">
        <is>
          <t>P3</t>
        </is>
      </c>
      <c r="H3" s="18" t="inlineStr">
        <is>
          <t>1. From About page, click browser Back</t>
        </is>
      </c>
      <c r="I3" s="18" t="inlineStr">
        <is>
          <t>User returns to /inventory.html with previous state intact</t>
        </is>
      </c>
      <c r="J3" s="18" t="inlineStr">
        <is>
          <t>Browser back returned to /inventory.html</t>
        </is>
      </c>
      <c r="K3" s="19" t="inlineStr">
        <is>
          <t>Pass</t>
        </is>
      </c>
      <c r="L3" s="18" t="n"/>
    </row>
  </sheetData>
  <dataValidations count="4">
    <dataValidation sqref="F2:F3" showDropDown="0" showInputMessage="0" showErrorMessage="0" allowBlank="0" type="list" errorStyle="stop" operator="between">
      <formula1>"Critical,High,Medium,Low"</formula1>
      <formula2>0</formula2>
    </dataValidation>
    <dataValidation sqref="G2:G3" showDropDown="0" showInputMessage="0" showErrorMessage="0" allowBlank="0" type="list" errorStyle="stop" operator="between">
      <formula1>"P1,P2,P3,P4"</formula1>
      <formula2>0</formula2>
    </dataValidation>
    <dataValidation sqref="C2:C3" showDropDown="0" showInputMessage="0" showErrorMessage="0" allowBlank="0" type="list" errorStyle="stop" operator="between">
      <formula1>"Positive,Negative,End-to-End"</formula1>
      <formula2>0</formula2>
    </dataValidation>
    <dataValidation sqref="K2:K3" showDropDown="0" showInputMessage="0" showErrorMessage="0" allowBlank="0" type="list" errorStyle="stop" operator="between">
      <formula1>"Not Tested,Pass,Fail,Blocked"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L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16" customWidth="1" style="11" min="2" max="2"/>
    <col width="13" customWidth="1" style="11" min="3" max="3"/>
    <col width="40" customWidth="1" style="11" min="4" max="4"/>
    <col width="28" customWidth="1" style="11" min="5" max="5"/>
    <col width="11" customWidth="1" style="11" min="6" max="6"/>
    <col width="9" customWidth="1" style="11" min="7" max="7"/>
    <col width="42" customWidth="1" style="11" min="8" max="9"/>
    <col width="30" customWidth="1" style="11" min="10" max="10"/>
    <col width="12" customWidth="1" style="11" min="11" max="11"/>
    <col width="24" customWidth="1" style="11" min="12" max="12"/>
  </cols>
  <sheetData>
    <row r="1" ht="19.5" customHeight="1" s="12">
      <c r="A1" s="14" t="inlineStr">
        <is>
          <t>Test Case ID</t>
        </is>
      </c>
      <c r="B1" s="14" t="inlineStr">
        <is>
          <t>Module</t>
        </is>
      </c>
      <c r="C1" s="14" t="inlineStr">
        <is>
          <t>Scenario Type</t>
        </is>
      </c>
      <c r="D1" s="14" t="inlineStr">
        <is>
          <t>Test Case</t>
        </is>
      </c>
      <c r="E1" s="14" t="inlineStr">
        <is>
          <t>Preconditions</t>
        </is>
      </c>
      <c r="F1" s="14" t="inlineStr">
        <is>
          <t>Severity</t>
        </is>
      </c>
      <c r="G1" s="14" t="inlineStr">
        <is>
          <t>Priority</t>
        </is>
      </c>
      <c r="H1" s="14" t="inlineStr">
        <is>
          <t>Steps</t>
        </is>
      </c>
      <c r="I1" s="14" t="inlineStr">
        <is>
          <t>Expected Result</t>
        </is>
      </c>
      <c r="J1" s="14" t="inlineStr">
        <is>
          <t>Actual Result</t>
        </is>
      </c>
      <c r="K1" s="14" t="inlineStr">
        <is>
          <t>Status</t>
        </is>
      </c>
      <c r="L1" s="14" t="inlineStr">
        <is>
          <t>Remarks</t>
        </is>
      </c>
    </row>
    <row r="2" ht="23.25" customHeight="1" s="12">
      <c r="A2" s="18" t="inlineStr">
        <is>
          <t>TC_LOGO_001</t>
        </is>
      </c>
      <c r="B2" s="18" t="inlineStr">
        <is>
          <t>Logout</t>
        </is>
      </c>
      <c r="C2" s="18" t="inlineStr">
        <is>
          <t>Positive</t>
        </is>
      </c>
      <c r="D2" s="18" t="inlineStr">
        <is>
          <t>Verify clicking Logout takes user to sign-in page</t>
        </is>
      </c>
      <c r="E2" s="18" t="inlineStr">
        <is>
          <t>User is logged in (standard_user) and on Products/Home page</t>
        </is>
      </c>
      <c r="F2" s="18" t="inlineStr">
        <is>
          <t>Critical</t>
        </is>
      </c>
      <c r="G2" s="18" t="inlineStr">
        <is>
          <t>P1</t>
        </is>
      </c>
      <c r="H2" s="18" t="inlineStr">
        <is>
          <t>1. Open hamburger menu
2. Click Logout</t>
        </is>
      </c>
      <c r="I2" s="18" t="inlineStr">
        <is>
          <t>User is redirected to login page (saucedemo.com/) and session is cleared</t>
        </is>
      </c>
      <c r="J2" s="18" t="inlineStr">
        <is>
          <t>Redirected to login page; login button visible; session cleared</t>
        </is>
      </c>
      <c r="K2" s="19" t="inlineStr">
        <is>
          <t>Pass</t>
        </is>
      </c>
      <c r="L2" s="18" t="n"/>
    </row>
  </sheetData>
  <dataValidations count="4">
    <dataValidation sqref="F2" showDropDown="0" showInputMessage="0" showErrorMessage="0" allowBlank="0" type="list" errorStyle="stop" operator="between">
      <formula1>"Critical,High,Medium,Low"</formula1>
      <formula2>0</formula2>
    </dataValidation>
    <dataValidation sqref="G2" showDropDown="0" showInputMessage="0" showErrorMessage="0" allowBlank="0" type="list" errorStyle="stop" operator="between">
      <formula1>"P1,P2,P3,P4"</formula1>
      <formula2>0</formula2>
    </dataValidation>
    <dataValidation sqref="C2" showDropDown="0" showInputMessage="0" showErrorMessage="0" allowBlank="0" type="list" errorStyle="stop" operator="between">
      <formula1>"Positive,Negative,End-to-End"</formula1>
      <formula2>0</formula2>
    </dataValidation>
    <dataValidation sqref="K2" showDropDown="0" showInputMessage="0" showErrorMessage="0" allowBlank="0" type="list" errorStyle="stop" operator="between">
      <formula1>"Not Tested,Pass,Fail,Blocked"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L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16" customWidth="1" style="11" min="2" max="2"/>
    <col width="13" customWidth="1" style="11" min="3" max="3"/>
    <col width="40" customWidth="1" style="11" min="4" max="4"/>
    <col width="28" customWidth="1" style="11" min="5" max="5"/>
    <col width="11" customWidth="1" style="11" min="6" max="6"/>
    <col width="9" customWidth="1" style="11" min="7" max="7"/>
    <col width="42" customWidth="1" style="11" min="8" max="9"/>
    <col width="30" customWidth="1" style="11" min="10" max="10"/>
    <col width="12" customWidth="1" style="11" min="11" max="11"/>
    <col width="24" customWidth="1" style="11" min="12" max="12"/>
  </cols>
  <sheetData>
    <row r="1" ht="19.5" customHeight="1" s="12">
      <c r="A1" s="14" t="inlineStr">
        <is>
          <t>Test Case ID</t>
        </is>
      </c>
      <c r="B1" s="14" t="inlineStr">
        <is>
          <t>Module</t>
        </is>
      </c>
      <c r="C1" s="14" t="inlineStr">
        <is>
          <t>Scenario Type</t>
        </is>
      </c>
      <c r="D1" s="14" t="inlineStr">
        <is>
          <t>Test Case</t>
        </is>
      </c>
      <c r="E1" s="14" t="inlineStr">
        <is>
          <t>Preconditions</t>
        </is>
      </c>
      <c r="F1" s="14" t="inlineStr">
        <is>
          <t>Severity</t>
        </is>
      </c>
      <c r="G1" s="14" t="inlineStr">
        <is>
          <t>Priority</t>
        </is>
      </c>
      <c r="H1" s="14" t="inlineStr">
        <is>
          <t>Steps</t>
        </is>
      </c>
      <c r="I1" s="14" t="inlineStr">
        <is>
          <t>Expected Result</t>
        </is>
      </c>
      <c r="J1" s="14" t="inlineStr">
        <is>
          <t>Actual Result</t>
        </is>
      </c>
      <c r="K1" s="14" t="inlineStr">
        <is>
          <t>Status</t>
        </is>
      </c>
      <c r="L1" s="14" t="inlineStr">
        <is>
          <t>Remarks</t>
        </is>
      </c>
    </row>
    <row r="2" ht="34.5" customHeight="1" s="12">
      <c r="A2" s="18" t="inlineStr">
        <is>
          <t>TC_SECU_001</t>
        </is>
      </c>
      <c r="B2" s="18" t="inlineStr">
        <is>
          <t>Security</t>
        </is>
      </c>
      <c r="C2" s="18" t="inlineStr">
        <is>
          <t>Negative</t>
        </is>
      </c>
      <c r="D2" s="18" t="inlineStr">
        <is>
          <t>Verify direct URL access to /inventory.html when logged out is blocked</t>
        </is>
      </c>
      <c r="E2" s="18" t="inlineStr">
        <is>
          <t>User is logged out / no active session</t>
        </is>
      </c>
      <c r="F2" s="18" t="inlineStr">
        <is>
          <t>Critical</t>
        </is>
      </c>
      <c r="G2" s="18" t="inlineStr">
        <is>
          <t>P1</t>
        </is>
      </c>
      <c r="H2" s="18" t="inlineStr">
        <is>
          <t>1. Logout (or clear session)
2. Directly navigate to saucedemo.com/inventory.html via URL bar</t>
        </is>
      </c>
      <c r="I2" s="18" t="inlineStr">
        <is>
          <t>User is redirected to login page; error 'You can only access '/inventory.html' when you are logged in.' is shown; protected page is NOT rendered</t>
        </is>
      </c>
      <c r="J2" s="18" t="inlineStr">
        <is>
          <t>Redirected to login page; /inventory.html not rendered</t>
        </is>
      </c>
      <c r="K2" s="19" t="inlineStr">
        <is>
          <t>Pass</t>
        </is>
      </c>
      <c r="L2" s="18" t="n"/>
    </row>
    <row r="3" ht="23.25" customHeight="1" s="12">
      <c r="A3" s="18" t="inlineStr">
        <is>
          <t>TC_SECU_002</t>
        </is>
      </c>
      <c r="B3" s="18" t="inlineStr">
        <is>
          <t>Security</t>
        </is>
      </c>
      <c r="C3" s="18" t="inlineStr">
        <is>
          <t>Negative</t>
        </is>
      </c>
      <c r="D3" s="18" t="inlineStr">
        <is>
          <t>Verify direct URL access to /cart.html when logged out is blocked</t>
        </is>
      </c>
      <c r="E3" s="18" t="inlineStr">
        <is>
          <t>User is logged out</t>
        </is>
      </c>
      <c r="F3" s="18" t="inlineStr">
        <is>
          <t>High</t>
        </is>
      </c>
      <c r="G3" s="18" t="inlineStr">
        <is>
          <t>P2</t>
        </is>
      </c>
      <c r="H3" s="18" t="inlineStr">
        <is>
          <t>1. Navigate directly to saucedemo.com/cart.html while logged out</t>
        </is>
      </c>
      <c r="I3" s="18" t="inlineStr">
        <is>
          <t>User is redirected to login page; cart contents are not exposed</t>
        </is>
      </c>
      <c r="J3" s="18" t="inlineStr">
        <is>
          <t>Redirected to login page; /cart.html not accessible</t>
        </is>
      </c>
      <c r="K3" s="19" t="inlineStr">
        <is>
          <t>Pass</t>
        </is>
      </c>
      <c r="L3" s="18" t="n"/>
    </row>
    <row r="4" ht="23.25" customHeight="1" s="12">
      <c r="A4" s="18" t="inlineStr">
        <is>
          <t>TC_SECU_003</t>
        </is>
      </c>
      <c r="B4" s="18" t="inlineStr">
        <is>
          <t>Security</t>
        </is>
      </c>
      <c r="C4" s="18" t="inlineStr">
        <is>
          <t>Negative</t>
        </is>
      </c>
      <c r="D4" s="18" t="inlineStr">
        <is>
          <t>Verify direct URL access to /checkout-step-one.html when logged out is blocked</t>
        </is>
      </c>
      <c r="E4" s="18" t="inlineStr">
        <is>
          <t>User is logged out</t>
        </is>
      </c>
      <c r="F4" s="18" t="inlineStr">
        <is>
          <t>High</t>
        </is>
      </c>
      <c r="G4" s="18" t="inlineStr">
        <is>
          <t>P2</t>
        </is>
      </c>
      <c r="H4" s="18" t="inlineStr">
        <is>
          <t>1. Navigate directly to saucedemo.com/checkout-step-one.html while logged out</t>
        </is>
      </c>
      <c r="I4" s="18" t="inlineStr">
        <is>
          <t>User is redirected to login page</t>
        </is>
      </c>
      <c r="J4" s="18" t="inlineStr">
        <is>
          <t>Redirected to login page; /checkout-step-one.html blocked</t>
        </is>
      </c>
      <c r="K4" s="19" t="inlineStr">
        <is>
          <t>Pass</t>
        </is>
      </c>
      <c r="L4" s="18" t="n"/>
    </row>
  </sheetData>
  <dataValidations count="4">
    <dataValidation sqref="F2:F4" showDropDown="0" showInputMessage="0" showErrorMessage="0" allowBlank="0" type="list" errorStyle="stop" operator="between">
      <formula1>"Critical,High,Medium,Low"</formula1>
      <formula2>0</formula2>
    </dataValidation>
    <dataValidation sqref="G2:G4" showDropDown="0" showInputMessage="0" showErrorMessage="0" allowBlank="0" type="list" errorStyle="stop" operator="between">
      <formula1>"P1,P2,P3,P4"</formula1>
      <formula2>0</formula2>
    </dataValidation>
    <dataValidation sqref="C2:C4" showDropDown="0" showInputMessage="0" showErrorMessage="0" allowBlank="0" type="list" errorStyle="stop" operator="between">
      <formula1>"Positive,Negative,End-to-End"</formula1>
      <formula2>0</formula2>
    </dataValidation>
    <dataValidation sqref="K2:K4" showDropDown="0" showInputMessage="0" showErrorMessage="0" allowBlank="0" type="list" errorStyle="stop" operator="between">
      <formula1>"Not Tested,Pass,Fail,Blocked"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L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16" customWidth="1" style="11" min="2" max="2"/>
    <col width="13" customWidth="1" style="11" min="3" max="3"/>
    <col width="40" customWidth="1" style="11" min="4" max="4"/>
    <col width="28" customWidth="1" style="11" min="5" max="5"/>
    <col width="11" customWidth="1" style="11" min="6" max="6"/>
    <col width="9" customWidth="1" style="11" min="7" max="7"/>
    <col width="42" customWidth="1" style="11" min="8" max="9"/>
    <col width="30" customWidth="1" style="11" min="10" max="10"/>
    <col width="12" customWidth="1" style="11" min="11" max="11"/>
    <col width="24" customWidth="1" style="11" min="12" max="12"/>
  </cols>
  <sheetData>
    <row r="1" ht="19.5" customHeight="1" s="12">
      <c r="A1" s="14" t="inlineStr">
        <is>
          <t>Test Case ID</t>
        </is>
      </c>
      <c r="B1" s="14" t="inlineStr">
        <is>
          <t>Module</t>
        </is>
      </c>
      <c r="C1" s="14" t="inlineStr">
        <is>
          <t>Scenario Type</t>
        </is>
      </c>
      <c r="D1" s="14" t="inlineStr">
        <is>
          <t>Test Case</t>
        </is>
      </c>
      <c r="E1" s="14" t="inlineStr">
        <is>
          <t>Preconditions</t>
        </is>
      </c>
      <c r="F1" s="14" t="inlineStr">
        <is>
          <t>Severity</t>
        </is>
      </c>
      <c r="G1" s="14" t="inlineStr">
        <is>
          <t>Priority</t>
        </is>
      </c>
      <c r="H1" s="14" t="inlineStr">
        <is>
          <t>Steps</t>
        </is>
      </c>
      <c r="I1" s="14" t="inlineStr">
        <is>
          <t>Expected Result</t>
        </is>
      </c>
      <c r="J1" s="14" t="inlineStr">
        <is>
          <t>Actual Result</t>
        </is>
      </c>
      <c r="K1" s="14" t="inlineStr">
        <is>
          <t>Status</t>
        </is>
      </c>
      <c r="L1" s="14" t="inlineStr">
        <is>
          <t>Remarks</t>
        </is>
      </c>
    </row>
    <row r="2" ht="34.5" customHeight="1" s="12">
      <c r="A2" s="18" t="inlineStr">
        <is>
          <t>TC_RESE_001</t>
        </is>
      </c>
      <c r="B2" s="18" t="inlineStr">
        <is>
          <t>Reset App State</t>
        </is>
      </c>
      <c r="C2" s="18" t="inlineStr">
        <is>
          <t>Positive</t>
        </is>
      </c>
      <c r="D2" s="18" t="inlineStr">
        <is>
          <t>Verify Reset App State empties the cart and badge disappears</t>
        </is>
      </c>
      <c r="E2" s="18" t="inlineStr">
        <is>
          <t>2+ products added to cart</t>
        </is>
      </c>
      <c r="F2" s="18" t="inlineStr">
        <is>
          <t>High</t>
        </is>
      </c>
      <c r="G2" s="18" t="inlineStr">
        <is>
          <t>P2</t>
        </is>
      </c>
      <c r="H2" s="18" t="inlineStr">
        <is>
          <t>1. Add 2+ products to cart
2. Open hamburger menu
3. Click 'Reset App State'</t>
        </is>
      </c>
      <c r="I2" s="18" t="inlineStr">
        <is>
          <t>Cart badge disappears (count 0); cart page shows no items</t>
        </is>
      </c>
      <c r="J2" s="18" t="inlineStr">
        <is>
          <t>Cart badge disappeared; cart page confirmed empty</t>
        </is>
      </c>
      <c r="K2" s="19" t="inlineStr">
        <is>
          <t>Pass</t>
        </is>
      </c>
      <c r="L2" s="18" t="n"/>
    </row>
    <row r="3" ht="34.5" customHeight="1" s="12">
      <c r="A3" s="18" t="inlineStr">
        <is>
          <t>TC_RESE_002</t>
        </is>
      </c>
      <c r="B3" s="18" t="inlineStr">
        <is>
          <t>Reset App State</t>
        </is>
      </c>
      <c r="C3" s="18" t="inlineStr">
        <is>
          <t>Positive</t>
        </is>
      </c>
      <c r="D3" s="18" t="inlineStr">
        <is>
          <t>Verify Reset App State reverts 'Remove' buttons back to 'Add to cart'</t>
        </is>
      </c>
      <c r="E3" s="18" t="inlineStr">
        <is>
          <t>1+ product added to cart (button shows 'Remove')</t>
        </is>
      </c>
      <c r="F3" s="18" t="inlineStr">
        <is>
          <t>Medium</t>
        </is>
      </c>
      <c r="G3" s="18" t="inlineStr">
        <is>
          <t>P2</t>
        </is>
      </c>
      <c r="H3" s="18" t="inlineStr">
        <is>
          <t>1. Add a product
2. Click 'Reset App State'
3. Check product button</t>
        </is>
      </c>
      <c r="I3" s="18" t="inlineStr">
        <is>
          <t>Button reverts to 'Add to cart'</t>
        </is>
      </c>
      <c r="J3" s="18" t="inlineStr">
        <is>
          <t>DEFECT: After reset, hamburger menu remained OPEN and overlaid product cards — 'Add to cart' button was not interactable until menu was closed. Fix: explicitly close menu before asserting button state.</t>
        </is>
      </c>
      <c r="K3" s="20" t="inlineStr">
        <is>
          <t>Fail</t>
        </is>
      </c>
      <c r="L3" s="18" t="n"/>
    </row>
    <row r="4" ht="23.25" customHeight="1" s="12">
      <c r="A4" s="18" t="inlineStr">
        <is>
          <t>TC_RESE_003</t>
        </is>
      </c>
      <c r="B4" s="18" t="inlineStr">
        <is>
          <t>Reset App State</t>
        </is>
      </c>
      <c r="C4" s="18" t="inlineStr">
        <is>
          <t>Positive</t>
        </is>
      </c>
      <c r="D4" s="18" t="inlineStr">
        <is>
          <t>Verify Reset App State does not log the user out</t>
        </is>
      </c>
      <c r="E4" s="18" t="inlineStr">
        <is>
          <t>User is logged in (standard_user) and on Products/Home page</t>
        </is>
      </c>
      <c r="F4" s="18" t="inlineStr">
        <is>
          <t>High</t>
        </is>
      </c>
      <c r="G4" s="18" t="inlineStr">
        <is>
          <t>P1</t>
        </is>
      </c>
      <c r="H4" s="18" t="inlineStr">
        <is>
          <t>1. Click 'Reset App State'
2. Check session/URL</t>
        </is>
      </c>
      <c r="I4" s="18" t="inlineStr">
        <is>
          <t>User remains authenticated; still on inventory page, not redirected to login</t>
        </is>
      </c>
      <c r="J4" s="18" t="inlineStr">
        <is>
          <t>User remained on /inventory.html; login button not visible</t>
        </is>
      </c>
      <c r="K4" s="19" t="inlineStr">
        <is>
          <t>Pass</t>
        </is>
      </c>
      <c r="L4" s="18" t="n"/>
    </row>
    <row r="5" ht="23.25" customHeight="1" s="12">
      <c r="A5" s="18" t="inlineStr">
        <is>
          <t>TC_RESE_004</t>
        </is>
      </c>
      <c r="B5" s="18" t="inlineStr">
        <is>
          <t>Reset App State</t>
        </is>
      </c>
      <c r="C5" s="18" t="inlineStr">
        <is>
          <t>Positive</t>
        </is>
      </c>
      <c r="D5" s="18" t="inlineStr">
        <is>
          <t>Verify Reset App State does not navigate away from current page</t>
        </is>
      </c>
      <c r="E5" s="18" t="inlineStr">
        <is>
          <t>User is on Products page with menu open</t>
        </is>
      </c>
      <c r="F5" s="18" t="inlineStr">
        <is>
          <t>Medium</t>
        </is>
      </c>
      <c r="G5" s="18" t="inlineStr">
        <is>
          <t>P2</t>
        </is>
      </c>
      <c r="H5" s="18" t="inlineStr">
        <is>
          <t>1. Click 'Reset App State'
2. Check current URL</t>
        </is>
      </c>
      <c r="I5" s="18" t="inlineStr">
        <is>
          <t>URL/page is unchanged (no navigation occurs); only menu may close</t>
        </is>
      </c>
      <c r="J5" s="18" t="inlineStr">
        <is>
          <t>URL unchanged; no navigation occurred</t>
        </is>
      </c>
      <c r="K5" s="19" t="inlineStr">
        <is>
          <t>Pass</t>
        </is>
      </c>
      <c r="L5" s="18" t="n"/>
    </row>
    <row r="6" ht="23.25" customHeight="1" s="12">
      <c r="A6" s="18" t="inlineStr">
        <is>
          <t>TC_RESE_005</t>
        </is>
      </c>
      <c r="B6" s="18" t="inlineStr">
        <is>
          <t>Reset App State</t>
        </is>
      </c>
      <c r="C6" s="18" t="inlineStr">
        <is>
          <t>Positive</t>
        </is>
      </c>
      <c r="D6" s="18" t="inlineStr">
        <is>
          <t>Verify Reset App State empties items already shown in Cart page view</t>
        </is>
      </c>
      <c r="E6" s="18" t="inlineStr">
        <is>
          <t>User has navigated to Cart page with items, then opens menu</t>
        </is>
      </c>
      <c r="F6" s="18" t="inlineStr">
        <is>
          <t>Medium</t>
        </is>
      </c>
      <c r="G6" s="18" t="inlineStr">
        <is>
          <t>P3</t>
        </is>
      </c>
      <c r="H6" s="18" t="inlineStr">
        <is>
          <t>1. From Cart page, open menu and click 'Reset App State'</t>
        </is>
      </c>
      <c r="I6" s="18" t="inlineStr">
        <is>
          <t>Cart page view updates immediately to show zero items</t>
        </is>
      </c>
      <c r="J6" s="18" t="inlineStr">
        <is>
          <t>Cart page shows 0 items after reset</t>
        </is>
      </c>
      <c r="K6" s="19" t="inlineStr">
        <is>
          <t>Pass</t>
        </is>
      </c>
      <c r="L6" s="18" t="n"/>
    </row>
    <row r="7" ht="23.25" customHeight="1" s="12">
      <c r="A7" s="18" t="inlineStr">
        <is>
          <t>TC_RESE_006</t>
        </is>
      </c>
      <c r="B7" s="18" t="inlineStr">
        <is>
          <t>Reset App State</t>
        </is>
      </c>
      <c r="C7" s="18" t="inlineStr">
        <is>
          <t>Negative</t>
        </is>
      </c>
      <c r="D7" s="18" t="inlineStr">
        <is>
          <t>Verify Reset App State with already-empty cart does not throw error</t>
        </is>
      </c>
      <c r="E7" s="18" t="inlineStr">
        <is>
          <t>Cart is already empty</t>
        </is>
      </c>
      <c r="F7" s="18" t="inlineStr">
        <is>
          <t>Low</t>
        </is>
      </c>
      <c r="G7" s="18" t="inlineStr">
        <is>
          <t>P3</t>
        </is>
      </c>
      <c r="H7" s="18" t="inlineStr">
        <is>
          <t>1. With empty cart, click 'Reset App State'</t>
        </is>
      </c>
      <c r="I7" s="18" t="inlineStr">
        <is>
          <t>No error is thrown; cart remains empty; app remains stable</t>
        </is>
      </c>
      <c r="J7" s="18" t="inlineStr">
        <is>
          <t>No error thrown; cart remained empty; app stable</t>
        </is>
      </c>
      <c r="K7" s="19" t="inlineStr">
        <is>
          <t>Pass</t>
        </is>
      </c>
      <c r="L7" s="18" t="n"/>
    </row>
  </sheetData>
  <dataValidations count="4">
    <dataValidation sqref="F2:F7" showDropDown="0" showInputMessage="0" showErrorMessage="0" allowBlank="0" type="list" errorStyle="stop" operator="between">
      <formula1>"Critical,High,Medium,Low"</formula1>
      <formula2>0</formula2>
    </dataValidation>
    <dataValidation sqref="G2:G7" showDropDown="0" showInputMessage="0" showErrorMessage="0" allowBlank="0" type="list" errorStyle="stop" operator="between">
      <formula1>"P1,P2,P3,P4"</formula1>
      <formula2>0</formula2>
    </dataValidation>
    <dataValidation sqref="C2:C7" showDropDown="0" showInputMessage="0" showErrorMessage="0" allowBlank="0" type="list" errorStyle="stop" operator="between">
      <formula1>"Positive,Negative,End-to-End"</formula1>
      <formula2>0</formula2>
    </dataValidation>
    <dataValidation sqref="K2:K7" showDropDown="0" showInputMessage="0" showErrorMessage="0" allowBlank="0" type="list" errorStyle="stop" operator="between">
      <formula1>"Not Tested,Pass,Fail,Blocked"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L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16" customWidth="1" style="11" min="2" max="2"/>
    <col width="13" customWidth="1" style="11" min="3" max="3"/>
    <col width="40" customWidth="1" style="11" min="4" max="4"/>
    <col width="28" customWidth="1" style="11" min="5" max="5"/>
    <col width="11" customWidth="1" style="11" min="6" max="6"/>
    <col width="9" customWidth="1" style="11" min="7" max="7"/>
    <col width="42" customWidth="1" style="11" min="8" max="9"/>
    <col width="30" customWidth="1" style="11" min="10" max="10"/>
    <col width="12" customWidth="1" style="11" min="11" max="11"/>
    <col width="24" customWidth="1" style="11" min="12" max="12"/>
  </cols>
  <sheetData>
    <row r="1" ht="19.5" customHeight="1" s="12">
      <c r="A1" s="14" t="inlineStr">
        <is>
          <t>Test Case ID</t>
        </is>
      </c>
      <c r="B1" s="14" t="inlineStr">
        <is>
          <t>Module</t>
        </is>
      </c>
      <c r="C1" s="14" t="inlineStr">
        <is>
          <t>Scenario Type</t>
        </is>
      </c>
      <c r="D1" s="14" t="inlineStr">
        <is>
          <t>Test Case</t>
        </is>
      </c>
      <c r="E1" s="14" t="inlineStr">
        <is>
          <t>Preconditions</t>
        </is>
      </c>
      <c r="F1" s="14" t="inlineStr">
        <is>
          <t>Severity</t>
        </is>
      </c>
      <c r="G1" s="14" t="inlineStr">
        <is>
          <t>Priority</t>
        </is>
      </c>
      <c r="H1" s="14" t="inlineStr">
        <is>
          <t>Steps</t>
        </is>
      </c>
      <c r="I1" s="14" t="inlineStr">
        <is>
          <t>Expected Result</t>
        </is>
      </c>
      <c r="J1" s="14" t="inlineStr">
        <is>
          <t>Actual Result</t>
        </is>
      </c>
      <c r="K1" s="14" t="inlineStr">
        <is>
          <t>Status</t>
        </is>
      </c>
      <c r="L1" s="14" t="inlineStr">
        <is>
          <t>Remarks</t>
        </is>
      </c>
    </row>
    <row r="2" ht="68.25" customHeight="1" s="12">
      <c r="A2" s="18" t="inlineStr">
        <is>
          <t>TC_E2E_001</t>
        </is>
      </c>
      <c r="B2" s="18" t="inlineStr">
        <is>
          <t>End-to-End</t>
        </is>
      </c>
      <c r="C2" s="18" t="inlineStr">
        <is>
          <t>End-to-End</t>
        </is>
      </c>
      <c r="D2" s="18" t="inlineStr">
        <is>
          <t>Full purchase journey: login -&gt; add product -&gt; checkout -&gt; order confirmation</t>
        </is>
      </c>
      <c r="E2" s="18" t="inlineStr">
        <is>
          <t>User is on Login page with browser open</t>
        </is>
      </c>
      <c r="F2" s="18" t="inlineStr">
        <is>
          <t>Critical</t>
        </is>
      </c>
      <c r="G2" s="18" t="inlineStr">
        <is>
          <t>P1</t>
        </is>
      </c>
      <c r="H2" s="18" t="inlineStr">
        <is>
          <t>1. Login with standard_user
2. Add 2 products to cart
3. Go to Cart, click Checkout
4. Fill First Name, Last Name, Zip; click Continue
5. Review Step Two totals; click Finish
6. Observe confirmation page; click Back Home</t>
        </is>
      </c>
      <c r="I2" s="18" t="inlineStr">
        <is>
          <t>User successfully places order; 'Thank you for your order!' is shown; cart is empty on return to Home page</t>
        </is>
      </c>
      <c r="J2" s="18" t="inlineStr">
        <is>
          <t>Full purchase completed; 'Thank you for your order!' shown; cart empty on return</t>
        </is>
      </c>
      <c r="K2" s="19" t="inlineStr">
        <is>
          <t>Pass</t>
        </is>
      </c>
      <c r="L2" s="18" t="inlineStr">
        <is>
          <t>Primary happy-path E2E scenario</t>
        </is>
      </c>
    </row>
    <row r="3" ht="68.25" customHeight="1" s="12">
      <c r="A3" s="18" t="inlineStr">
        <is>
          <t>TC_E2E_002</t>
        </is>
      </c>
      <c r="B3" s="18" t="inlineStr">
        <is>
          <t>End-to-End</t>
        </is>
      </c>
      <c r="C3" s="18" t="inlineStr">
        <is>
          <t>End-to-End</t>
        </is>
      </c>
      <c r="D3" s="18" t="inlineStr">
        <is>
          <t>E2E: Login -&gt; sort by price -&gt; view product detail -&gt; add to cart -&gt; remove from cart -&gt; verify badge</t>
        </is>
      </c>
      <c r="E3" s="18" t="inlineStr">
        <is>
          <t>User is on Login page with browser open</t>
        </is>
      </c>
      <c r="F3" s="18" t="inlineStr">
        <is>
          <t>High</t>
        </is>
      </c>
      <c r="G3" s="18" t="inlineStr">
        <is>
          <t>P2</t>
        </is>
      </c>
      <c r="H3" s="18" t="inlineStr">
        <is>
          <t>1. Login
2. Sort Price (low to high)
3. Open first product detail page
4. Add to cart from detail page
5. Go to cart, remove the item
6. Verify badge disappears</t>
        </is>
      </c>
      <c r="I3" s="18" t="inlineStr">
        <is>
          <t>Each step completes without error; final cart badge is hidden/0</t>
        </is>
      </c>
      <c r="J3" s="18" t="inlineStr">
        <is>
          <t>Sort → detail → add → remove flow completed; badge cleared to 0</t>
        </is>
      </c>
      <c r="K3" s="19" t="inlineStr">
        <is>
          <t>Pass</t>
        </is>
      </c>
      <c r="L3" s="18" t="n"/>
    </row>
    <row r="4" ht="45.75" customHeight="1" s="12">
      <c r="A4" s="18" t="inlineStr">
        <is>
          <t>TC_E2E_003</t>
        </is>
      </c>
      <c r="B4" s="18" t="inlineStr">
        <is>
          <t>End-to-End</t>
        </is>
      </c>
      <c r="C4" s="18" t="inlineStr">
        <is>
          <t>End-to-End</t>
        </is>
      </c>
      <c r="D4" s="18" t="inlineStr">
        <is>
          <t>E2E: Logout mid-session then verify protected route is inaccessible</t>
        </is>
      </c>
      <c r="E4" s="18" t="inlineStr">
        <is>
          <t>User is logged in (standard_user) and on Products/Home page</t>
        </is>
      </c>
      <c r="F4" s="18" t="inlineStr">
        <is>
          <t>Critical</t>
        </is>
      </c>
      <c r="G4" s="18" t="inlineStr">
        <is>
          <t>P1</t>
        </is>
      </c>
      <c r="H4" s="18" t="inlineStr">
        <is>
          <t>1. Login
2. Add a product to cart
3. Logout via menu
4. Attempt direct navigation to /cart.html</t>
        </is>
      </c>
      <c r="I4" s="18" t="inlineStr">
        <is>
          <t>User is logged out successfully and redirected away when attempting to access /cart.html directly</t>
        </is>
      </c>
      <c r="J4" s="18" t="inlineStr">
        <is>
          <t>Logout confirmed; direct access to /cart.html blocked and redirected</t>
        </is>
      </c>
      <c r="K4" s="19" t="inlineStr">
        <is>
          <t>Pass</t>
        </is>
      </c>
      <c r="L4" s="18" t="n"/>
    </row>
  </sheetData>
  <dataValidations count="4">
    <dataValidation sqref="F2:F4" showDropDown="0" showInputMessage="0" showErrorMessage="0" allowBlank="0" type="list" errorStyle="stop" operator="between">
      <formula1>"Critical,High,Medium,Low"</formula1>
      <formula2>0</formula2>
    </dataValidation>
    <dataValidation sqref="G2:G4" showDropDown="0" showInputMessage="0" showErrorMessage="0" allowBlank="0" type="list" errorStyle="stop" operator="between">
      <formula1>"P1,P2,P3,P4"</formula1>
      <formula2>0</formula2>
    </dataValidation>
    <dataValidation sqref="C2:C4" showDropDown="0" showInputMessage="0" showErrorMessage="0" allowBlank="0" type="list" errorStyle="stop" operator="between">
      <formula1>"Positive,Negative,End-to-End"</formula1>
      <formula2>0</formula2>
    </dataValidation>
    <dataValidation sqref="K2:K4" showDropDown="0" showInputMessage="0" showErrorMessage="0" allowBlank="0" type="list" errorStyle="stop" operator="between">
      <formula1>"Not Tested,Pass,Fail,Blocked"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L1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16" customWidth="1" style="11" min="2" max="2"/>
    <col width="13" customWidth="1" style="11" min="3" max="3"/>
    <col width="40" customWidth="1" style="11" min="4" max="4"/>
    <col width="28" customWidth="1" style="11" min="5" max="5"/>
    <col width="11" customWidth="1" style="11" min="6" max="6"/>
    <col width="9" customWidth="1" style="11" min="7" max="7"/>
    <col width="42" customWidth="1" style="11" min="8" max="9"/>
    <col width="30" customWidth="1" style="11" min="10" max="10"/>
    <col width="12" customWidth="1" style="11" min="11" max="11"/>
    <col width="24" customWidth="1" style="11" min="12" max="12"/>
  </cols>
  <sheetData>
    <row r="1" ht="19.5" customHeight="1" s="12">
      <c r="A1" s="14" t="inlineStr">
        <is>
          <t>Test Case ID</t>
        </is>
      </c>
      <c r="B1" s="14" t="inlineStr">
        <is>
          <t>Module</t>
        </is>
      </c>
      <c r="C1" s="14" t="inlineStr">
        <is>
          <t>Scenario Type</t>
        </is>
      </c>
      <c r="D1" s="14" t="inlineStr">
        <is>
          <t>Test Case</t>
        </is>
      </c>
      <c r="E1" s="14" t="inlineStr">
        <is>
          <t>Preconditions</t>
        </is>
      </c>
      <c r="F1" s="14" t="inlineStr">
        <is>
          <t>Severity</t>
        </is>
      </c>
      <c r="G1" s="14" t="inlineStr">
        <is>
          <t>Priority</t>
        </is>
      </c>
      <c r="H1" s="14" t="inlineStr">
        <is>
          <t>Steps</t>
        </is>
      </c>
      <c r="I1" s="14" t="inlineStr">
        <is>
          <t>Expected Result</t>
        </is>
      </c>
      <c r="J1" s="14" t="inlineStr">
        <is>
          <t>Actual Result</t>
        </is>
      </c>
      <c r="K1" s="14" t="inlineStr">
        <is>
          <t>Status</t>
        </is>
      </c>
      <c r="L1" s="14" t="inlineStr">
        <is>
          <t>Remarks</t>
        </is>
      </c>
    </row>
    <row r="2" ht="34.5" customHeight="1" s="12">
      <c r="A2" s="18" t="inlineStr">
        <is>
          <t>TC_PERS_001</t>
        </is>
      </c>
      <c r="B2" s="18" t="inlineStr">
        <is>
          <t>User Personas</t>
        </is>
      </c>
      <c r="C2" s="18" t="inlineStr">
        <is>
          <t>Negative</t>
        </is>
      </c>
      <c r="D2" s="18" t="inlineStr">
        <is>
          <t>locked_out_user: login is rejected with specific locked-out error</t>
        </is>
      </c>
      <c r="E2" s="18" t="inlineStr">
        <is>
          <t>Browser open on saucedemo login page</t>
        </is>
      </c>
      <c r="F2" s="18" t="inlineStr">
        <is>
          <t>High</t>
        </is>
      </c>
      <c r="G2" s="18" t="inlineStr">
        <is>
          <t>P1</t>
        </is>
      </c>
      <c r="H2" s="18" t="inlineStr">
        <is>
          <t>1. Enter username 'locked_out_user' and password 'secret_sauce'
2. Click Login</t>
        </is>
      </c>
      <c r="I2" s="18" t="inlineStr">
        <is>
          <t>Login fails; error message 'Epic sadface: Sorry, this user has been locked out.' is shown; user stays on login page</t>
        </is>
      </c>
      <c r="J2" s="18" t="inlineStr">
        <is>
          <t>Login rejected with 'Sorry, this user has been locked out.' error</t>
        </is>
      </c>
      <c r="K2" s="19" t="inlineStr">
        <is>
          <t>Pass</t>
        </is>
      </c>
      <c r="L2" s="18" t="inlineStr">
        <is>
          <t>Negative login — no further steps needed</t>
        </is>
      </c>
    </row>
    <row r="3" ht="45.75" customHeight="1" s="12">
      <c r="A3" s="18" t="inlineStr">
        <is>
          <t>TC_PERS_002</t>
        </is>
      </c>
      <c r="B3" s="18" t="inlineStr">
        <is>
          <t>User Personas</t>
        </is>
      </c>
      <c r="C3" s="18" t="inlineStr">
        <is>
          <t>Positive</t>
        </is>
      </c>
      <c r="D3" s="18" t="inlineStr">
        <is>
          <t>performance_glitch_user: login eventually succeeds within acceptable time</t>
        </is>
      </c>
      <c r="E3" s="18" t="inlineStr">
        <is>
          <t>Browser open on saucedemo login page</t>
        </is>
      </c>
      <c r="F3" s="18" t="inlineStr">
        <is>
          <t>High</t>
        </is>
      </c>
      <c r="G3" s="18" t="inlineStr">
        <is>
          <t>P2</t>
        </is>
      </c>
      <c r="H3" s="18" t="inlineStr">
        <is>
          <t>1. Enter username 'performance_glitch_user' and password 'secret_sauce'
2. Click Login
3. Note time taken</t>
        </is>
      </c>
      <c r="I3" s="18" t="inlineStr">
        <is>
          <t>Login succeeds and redirects to /inventory.html; total time &lt; 10 seconds</t>
        </is>
      </c>
      <c r="J3" s="18" t="inlineStr">
        <is>
          <t>Login completed within 10 seconds despite artificial delay</t>
        </is>
      </c>
      <c r="K3" s="19" t="inlineStr">
        <is>
          <t>Pass</t>
        </is>
      </c>
      <c r="L3" s="18" t="inlineStr">
        <is>
          <t>Use extended timeout (15s) in automation; do not assert instant load</t>
        </is>
      </c>
    </row>
    <row r="4" ht="34.5" customHeight="1" s="12">
      <c r="A4" s="18" t="inlineStr">
        <is>
          <t>TC_PERS_003</t>
        </is>
      </c>
      <c r="B4" s="18" t="inlineStr">
        <is>
          <t>User Personas</t>
        </is>
      </c>
      <c r="C4" s="18" t="inlineStr">
        <is>
          <t>Positive</t>
        </is>
      </c>
      <c r="D4" s="18" t="inlineStr">
        <is>
          <t>performance_glitch_user: inventory page loads after slow login</t>
        </is>
      </c>
      <c r="E4" s="18" t="inlineStr">
        <is>
          <t>performance_glitch_user is logged in</t>
        </is>
      </c>
      <c r="F4" s="18" t="inlineStr">
        <is>
          <t>Medium</t>
        </is>
      </c>
      <c r="G4" s="18" t="inlineStr">
        <is>
          <t>P2</t>
        </is>
      </c>
      <c r="H4" s="18" t="inlineStr">
        <is>
          <t>1. Login as performance_glitch_user
2. Observe page heading and product cards</t>
        </is>
      </c>
      <c r="I4" s="18" t="inlineStr">
        <is>
          <t>Products heading and all product cards are visible (may take up to 10s)</t>
        </is>
      </c>
      <c r="J4" s="18" t="inlineStr">
        <is>
          <t>Inventory page loaded; 6 products visible after slow response</t>
        </is>
      </c>
      <c r="K4" s="19" t="inlineStr">
        <is>
          <t>Pass</t>
        </is>
      </c>
      <c r="L4" s="18" t="inlineStr">
        <is>
          <t>Artificial delay is ~5s; extended timeout required in automation</t>
        </is>
      </c>
    </row>
    <row r="5" ht="23.25" customHeight="1" s="12">
      <c r="A5" s="18" t="inlineStr">
        <is>
          <t>TC_PERS_004</t>
        </is>
      </c>
      <c r="B5" s="18" t="inlineStr">
        <is>
          <t>User Personas</t>
        </is>
      </c>
      <c r="C5" s="18" t="inlineStr">
        <is>
          <t>Positive</t>
        </is>
      </c>
      <c r="D5" s="18" t="inlineStr">
        <is>
          <t>performance_glitch_user: Add to Cart completes despite slow response</t>
        </is>
      </c>
      <c r="E5" s="18" t="inlineStr">
        <is>
          <t>performance_glitch_user is on inventory page</t>
        </is>
      </c>
      <c r="F5" s="18" t="inlineStr">
        <is>
          <t>Medium</t>
        </is>
      </c>
      <c r="G5" s="18" t="inlineStr">
        <is>
          <t>P3</t>
        </is>
      </c>
      <c r="H5" s="18" t="inlineStr">
        <is>
          <t>1. Click 'Add to Cart' on any product
2. Observe cart badge</t>
        </is>
      </c>
      <c r="I5" s="18" t="inlineStr">
        <is>
          <t>Cart badge eventually shows count of 1 (may be delayed)</t>
        </is>
      </c>
      <c r="J5" s="18" t="inlineStr">
        <is>
          <t>Cart badge updated to 1 after delayed Add to Cart response</t>
        </is>
      </c>
      <c r="K5" s="19" t="inlineStr">
        <is>
          <t>Pass</t>
        </is>
      </c>
      <c r="L5" s="18" t="inlineStr">
        <is>
          <t>Do not assert instant update; use waitFor</t>
        </is>
      </c>
    </row>
    <row r="6" ht="34.5" customHeight="1" s="12">
      <c r="A6" s="18" t="inlineStr">
        <is>
          <t>TC_PERS_005</t>
        </is>
      </c>
      <c r="B6" s="18" t="inlineStr">
        <is>
          <t>User Personas</t>
        </is>
      </c>
      <c r="C6" s="18" t="inlineStr">
        <is>
          <t>Negative</t>
        </is>
      </c>
      <c r="D6" s="18" t="inlineStr">
        <is>
          <t>problem_user: all product images are broken (same incorrect src across all cards)</t>
        </is>
      </c>
      <c r="E6" s="18" t="inlineStr">
        <is>
          <t>problem_user is logged in and on inventory page</t>
        </is>
      </c>
      <c r="F6" s="18" t="inlineStr">
        <is>
          <t>High</t>
        </is>
      </c>
      <c r="G6" s="18" t="inlineStr">
        <is>
          <t>P2</t>
        </is>
      </c>
      <c r="H6" s="18" t="inlineStr">
        <is>
          <t>1. Login as problem_user
2. Observe all product images on inventory page</t>
        </is>
      </c>
      <c r="I6" s="18" t="inlineStr">
        <is>
          <t>All 6 product images show the same incorrect image (all src attributes are identical)</t>
        </is>
      </c>
      <c r="J6" s="18" t="inlineStr">
        <is>
          <t>CONFIRMED BUG: All 6 product image src attributes are identical — same broken image served for every product</t>
        </is>
      </c>
      <c r="K6" s="19" t="inlineStr">
        <is>
          <t>Pass</t>
        </is>
      </c>
      <c r="L6" s="18" t="inlineStr">
        <is>
          <t>Broken UI bug — verify via src attribute, not visual inspection</t>
        </is>
      </c>
    </row>
    <row r="7" ht="34.5" customHeight="1" s="12">
      <c r="A7" s="18" t="inlineStr">
        <is>
          <t>TC_PERS_006</t>
        </is>
      </c>
      <c r="B7" s="18" t="inlineStr">
        <is>
          <t>User Personas</t>
        </is>
      </c>
      <c r="C7" s="18" t="inlineStr">
        <is>
          <t>Negative</t>
        </is>
      </c>
      <c r="D7" s="18" t="inlineStr">
        <is>
          <t>problem_user: product detail page shows wrong product name (mismatch with clicked product)</t>
        </is>
      </c>
      <c r="E7" s="18" t="inlineStr">
        <is>
          <t>problem_user is on inventory page</t>
        </is>
      </c>
      <c r="F7" s="18" t="inlineStr">
        <is>
          <t>High</t>
        </is>
      </c>
      <c r="G7" s="18" t="inlineStr">
        <is>
          <t>P2</t>
        </is>
      </c>
      <c r="H7" s="18" t="inlineStr">
        <is>
          <t>1. Note the name of the first product card
2. Click on that product
3. Read name on detail page</t>
        </is>
      </c>
      <c r="I7" s="18" t="inlineStr">
        <is>
          <t>Detail page shows a DIFFERENT product name than the one clicked</t>
        </is>
      </c>
      <c r="J7" s="18" t="inlineStr">
        <is>
          <t>CONFIRMED BUG: Detail page showed a different product than the one clicked on inventory</t>
        </is>
      </c>
      <c r="K7" s="19" t="inlineStr">
        <is>
          <t>Pass</t>
        </is>
      </c>
      <c r="L7" s="18" t="inlineStr">
        <is>
          <t>A-Z sort works for problem_user; price sort and images are broken</t>
        </is>
      </c>
    </row>
    <row r="8" ht="34.5" customHeight="1" s="12">
      <c r="A8" s="18" t="inlineStr">
        <is>
          <t>TC_PERS_007</t>
        </is>
      </c>
      <c r="B8" s="18" t="inlineStr">
        <is>
          <t>User Personas</t>
        </is>
      </c>
      <c r="C8" s="18" t="inlineStr">
        <is>
          <t>Negative</t>
        </is>
      </c>
      <c r="D8" s="18" t="inlineStr">
        <is>
          <t>problem_user: price sort (low to high) does not produce correct ascending order</t>
        </is>
      </c>
      <c r="E8" s="18" t="inlineStr">
        <is>
          <t>problem_user is on inventory page</t>
        </is>
      </c>
      <c r="F8" s="18" t="inlineStr">
        <is>
          <t>Medium</t>
        </is>
      </c>
      <c r="G8" s="18" t="inlineStr">
        <is>
          <t>P2</t>
        </is>
      </c>
      <c r="H8" s="18" t="inlineStr">
        <is>
          <t>1. Open sort dropdown
2. Select 'Price (low to high)'
3. Compare consecutive product prices</t>
        </is>
      </c>
      <c r="I8" s="18" t="inlineStr">
        <is>
          <t>At least one pair of consecutive products is NOT in ascending price order</t>
        </is>
      </c>
      <c r="J8" s="18" t="inlineStr">
        <is>
          <t>CONFIRMED BUG: Price (low to high) sort produced at least one out-of-order pair</t>
        </is>
      </c>
      <c r="K8" s="19" t="inlineStr">
        <is>
          <t>Pass</t>
        </is>
      </c>
      <c r="L8" s="18" t="inlineStr">
        <is>
          <t>Name-based sorts (A-Z, Z-A) work correctly; only price sort is broken</t>
        </is>
      </c>
    </row>
    <row r="9" ht="34.5" customHeight="1" s="12">
      <c r="A9" s="18" t="inlineStr">
        <is>
          <t>TC_PERS_008</t>
        </is>
      </c>
      <c r="B9" s="18" t="inlineStr">
        <is>
          <t>User Personas</t>
        </is>
      </c>
      <c r="C9" s="18" t="inlineStr">
        <is>
          <t>Negative</t>
        </is>
      </c>
      <c r="D9" s="18" t="inlineStr">
        <is>
          <t>problem_user: Add to Cart silently fails for some products</t>
        </is>
      </c>
      <c r="E9" s="18" t="inlineStr">
        <is>
          <t>problem_user is on inventory page</t>
        </is>
      </c>
      <c r="F9" s="18" t="inlineStr">
        <is>
          <t>Medium</t>
        </is>
      </c>
      <c r="G9" s="18" t="inlineStr">
        <is>
          <t>P3</t>
        </is>
      </c>
      <c r="H9" s="18" t="inlineStr">
        <is>
          <t>1. Click 'Add to Cart' for each of the 6 products one by one
2. Track cart badge count after each click</t>
        </is>
      </c>
      <c r="I9" s="18" t="inlineStr">
        <is>
          <t>One or more 'Add to Cart' clicks do not increment the cart badge (silent failure)</t>
        </is>
      </c>
      <c r="J9" s="18" t="inlineStr">
        <is>
          <t>CONFIRMED BUG: One or more 'Add to Cart' clicks did not increment cart badge — silent failure</t>
        </is>
      </c>
      <c r="K9" s="19" t="inlineStr">
        <is>
          <t>Pass</t>
        </is>
      </c>
      <c r="L9" s="18" t="inlineStr">
        <is>
          <t>Specific products that fail may vary; verify badge count per click</t>
        </is>
      </c>
    </row>
    <row r="10" ht="34.5" customHeight="1" s="12">
      <c r="A10" s="18" t="inlineStr">
        <is>
          <t>TC_PERS_009</t>
        </is>
      </c>
      <c r="B10" s="18" t="inlineStr">
        <is>
          <t>User Personas</t>
        </is>
      </c>
      <c r="C10" s="18" t="inlineStr">
        <is>
          <t>Negative</t>
        </is>
      </c>
      <c r="D10" s="18" t="inlineStr">
        <is>
          <t>error_user: changing sort dropdown triggers a visible error banner</t>
        </is>
      </c>
      <c r="E10" s="18" t="inlineStr">
        <is>
          <t>error_user is logged in and on inventory page</t>
        </is>
      </c>
      <c r="F10" s="18" t="inlineStr">
        <is>
          <t>High</t>
        </is>
      </c>
      <c r="G10" s="18" t="inlineStr">
        <is>
          <t>P2</t>
        </is>
      </c>
      <c r="H10" s="18" t="inlineStr">
        <is>
          <t>1. Login as error_user
2. Open sort dropdown
3. Select 'Name (Z to A)'</t>
        </is>
      </c>
      <c r="I10" s="18" t="inlineStr">
        <is>
          <t>A red error banner appears with an error message; products may still be visible</t>
        </is>
      </c>
      <c r="J10" s="18" t="inlineStr">
        <is>
          <t>CONFIRMED BUG: Error banner appeared after changing sort dropdown</t>
        </is>
      </c>
      <c r="K10" s="19" t="inlineStr">
        <is>
          <t>Pass</t>
        </is>
      </c>
      <c r="L10" s="18" t="inlineStr">
        <is>
          <t>Error banner has data-test='error' and a dismiss (X) button</t>
        </is>
      </c>
    </row>
    <row r="11" ht="23.25" customHeight="1" s="12">
      <c r="A11" s="18" t="inlineStr">
        <is>
          <t>TC_PERS_010</t>
        </is>
      </c>
      <c r="B11" s="18" t="inlineStr">
        <is>
          <t>User Personas</t>
        </is>
      </c>
      <c r="C11" s="18" t="inlineStr">
        <is>
          <t>Negative</t>
        </is>
      </c>
      <c r="D11" s="18" t="inlineStr">
        <is>
          <t>error_user: error banner has a close button that dismisses it</t>
        </is>
      </c>
      <c r="E11" s="18" t="inlineStr">
        <is>
          <t>error_user is on inventory page with error banner visible</t>
        </is>
      </c>
      <c r="F11" s="18" t="inlineStr">
        <is>
          <t>Medium</t>
        </is>
      </c>
      <c r="G11" s="18" t="inlineStr">
        <is>
          <t>P3</t>
        </is>
      </c>
      <c r="H11" s="18" t="inlineStr">
        <is>
          <t>1. Trigger error (change sort)
2. Click X/close button on error banner</t>
        </is>
      </c>
      <c r="I11" s="18" t="inlineStr">
        <is>
          <t>Error banner disappears; page is usable again</t>
        </is>
      </c>
      <c r="J11" s="18" t="inlineStr">
        <is>
          <t>Error banner dismissed successfully via close (X) button</t>
        </is>
      </c>
      <c r="K11" s="19" t="inlineStr">
        <is>
          <t>Pass</t>
        </is>
      </c>
      <c r="L11" s="18" t="n"/>
    </row>
    <row r="12" ht="34.5" customHeight="1" s="12">
      <c r="A12" s="18" t="inlineStr">
        <is>
          <t>TC_PERS_011</t>
        </is>
      </c>
      <c r="B12" s="18" t="inlineStr">
        <is>
          <t>User Personas</t>
        </is>
      </c>
      <c r="C12" s="18" t="inlineStr">
        <is>
          <t>Negative</t>
        </is>
      </c>
      <c r="D12" s="18" t="inlineStr">
        <is>
          <t>error_user: Remove button on a product triggers an error banner</t>
        </is>
      </c>
      <c r="E12" s="18" t="inlineStr">
        <is>
          <t>error_user has added a product to cart (button shows Remove)</t>
        </is>
      </c>
      <c r="F12" s="18" t="inlineStr">
        <is>
          <t>High</t>
        </is>
      </c>
      <c r="G12" s="18" t="inlineStr">
        <is>
          <t>P2</t>
        </is>
      </c>
      <c r="H12" s="18" t="inlineStr">
        <is>
          <t>1. Add product to cart (succeeds)
2. Click Remove on that product</t>
        </is>
      </c>
      <c r="I12" s="18" t="inlineStr">
        <is>
          <t>Error banner appears OR badge does not decrement (remove silently fails or errors)</t>
        </is>
      </c>
      <c r="J12" s="18" t="inlineStr">
        <is>
          <t>CONFIRMED BUG: Error banner appeared or badge did not decrement after clicking Remove</t>
        </is>
      </c>
      <c r="K12" s="19" t="inlineStr">
        <is>
          <t>Pass</t>
        </is>
      </c>
      <c r="L12" s="18" t="inlineStr">
        <is>
          <t>Add to Cart may succeed; Remove is where error_user breaks</t>
        </is>
      </c>
    </row>
    <row r="13" ht="34.5" customHeight="1" s="12">
      <c r="A13" s="18" t="inlineStr">
        <is>
          <t>TC_PERS_012</t>
        </is>
      </c>
      <c r="B13" s="18" t="inlineStr">
        <is>
          <t>User Personas</t>
        </is>
      </c>
      <c r="C13" s="18" t="inlineStr">
        <is>
          <t>Positive</t>
        </is>
      </c>
      <c r="D13" s="18" t="inlineStr">
        <is>
          <t>error_user: login succeeds and inventory page is accessible</t>
        </is>
      </c>
      <c r="E13" s="18" t="inlineStr">
        <is>
          <t>Browser on login page</t>
        </is>
      </c>
      <c r="F13" s="18" t="inlineStr">
        <is>
          <t>Medium</t>
        </is>
      </c>
      <c r="G13" s="18" t="inlineStr">
        <is>
          <t>P2</t>
        </is>
      </c>
      <c r="H13" s="18" t="inlineStr">
        <is>
          <t>1. Enter username 'error_user' and password 'secret_sauce'
2. Click Login</t>
        </is>
      </c>
      <c r="I13" s="18" t="inlineStr">
        <is>
          <t>Login succeeds; user reaches /inventory.html and sees product grid</t>
        </is>
      </c>
      <c r="J13" s="18" t="inlineStr">
        <is>
          <t>Login succeeded; /inventory.html loaded with product grid visible</t>
        </is>
      </c>
      <c r="K13" s="19" t="inlineStr">
        <is>
          <t>Pass</t>
        </is>
      </c>
      <c r="L13" s="18" t="inlineStr">
        <is>
          <t>Errors only surface on specific interactions post-login</t>
        </is>
      </c>
    </row>
    <row r="14" ht="34.5" customHeight="1" s="12">
      <c r="A14" s="18" t="inlineStr">
        <is>
          <t>TC_PERS_013</t>
        </is>
      </c>
      <c r="B14" s="18" t="inlineStr">
        <is>
          <t>User Personas</t>
        </is>
      </c>
      <c r="C14" s="18" t="inlineStr">
        <is>
          <t>Positive</t>
        </is>
      </c>
      <c r="D14" s="18" t="inlineStr">
        <is>
          <t>visual_user: login succeeds and full checkout flow completes functionally</t>
        </is>
      </c>
      <c r="E14" s="18" t="inlineStr">
        <is>
          <t>Browser on login page</t>
        </is>
      </c>
      <c r="F14" s="18" t="inlineStr">
        <is>
          <t>Medium</t>
        </is>
      </c>
      <c r="G14" s="18" t="inlineStr">
        <is>
          <t>P2</t>
        </is>
      </c>
      <c r="H14" s="18" t="inlineStr">
        <is>
          <t>1. Login as visual_user
2. Add product to cart
3. Complete full checkout to confirmation page</t>
        </is>
      </c>
      <c r="I14" s="18" t="inlineStr">
        <is>
          <t>All steps succeed; 'Thank you for your order!' shown on completion</t>
        </is>
      </c>
      <c r="J14" s="18" t="inlineStr">
        <is>
          <t>Full checkout flow completed correctly — functional behaviour unaffected</t>
        </is>
      </c>
      <c r="K14" s="19" t="inlineStr">
        <is>
          <t>Pass</t>
        </is>
      </c>
      <c r="L14" s="18" t="inlineStr">
        <is>
          <t>Functional tests pass for visual_user; bugs are layout/CSS only</t>
        </is>
      </c>
    </row>
    <row r="15" ht="57" customHeight="1" s="12">
      <c r="A15" s="18" t="inlineStr">
        <is>
          <t>TC_PERS_014</t>
        </is>
      </c>
      <c r="B15" s="18" t="inlineStr">
        <is>
          <t>User Personas</t>
        </is>
      </c>
      <c r="C15" s="18" t="inlineStr">
        <is>
          <t>Negative</t>
        </is>
      </c>
      <c r="D15" s="18" t="inlineStr">
        <is>
          <t>visual_user: inventory page layout has visual/CSS defects (screenshot diff)</t>
        </is>
      </c>
      <c r="E15" s="18" t="inlineStr">
        <is>
          <t>visual_user is logged in; baseline screenshot exists</t>
        </is>
      </c>
      <c r="F15" s="18" t="inlineStr">
        <is>
          <t>High</t>
        </is>
      </c>
      <c r="G15" s="18" t="inlineStr">
        <is>
          <t>P2</t>
        </is>
      </c>
      <c r="H15" s="18" t="inlineStr">
        <is>
          <t>1. Login as visual_user
2. Take full-page screenshot of inventory
3. Diff against standard_user baseline</t>
        </is>
      </c>
      <c r="I15" s="18" t="inlineStr">
        <is>
          <t>Screenshot diff reveals misaligned elements, wrong colours, or incorrect positioning not present for standard_user</t>
        </is>
      </c>
      <c r="J15" s="18" t="inlineStr">
        <is>
          <t>No baseline snapshot PNG exists — run: npx playwright test --update-snapshots</t>
        </is>
      </c>
      <c r="K15" s="21" t="inlineStr">
        <is>
          <t>Blocked</t>
        </is>
      </c>
      <c r="L15" s="18" t="inlineStr">
        <is>
          <t>Requires visual regression tooling (Playwright toHaveScreenshot or Percy); functional assertions alone will PASS</t>
        </is>
      </c>
    </row>
    <row r="16" ht="23.25" customHeight="1" s="12">
      <c r="A16" s="18" t="inlineStr">
        <is>
          <t>TC_PERS_015</t>
        </is>
      </c>
      <c r="B16" s="18" t="inlineStr">
        <is>
          <t>User Personas</t>
        </is>
      </c>
      <c r="C16" s="18" t="inlineStr">
        <is>
          <t>Negative</t>
        </is>
      </c>
      <c r="D16" s="18" t="inlineStr">
        <is>
          <t>visual_user: product card layout has visual defects</t>
        </is>
      </c>
      <c r="E16" s="18" t="inlineStr">
        <is>
          <t>visual_user is on inventory page; baseline exists</t>
        </is>
      </c>
      <c r="F16" s="18" t="inlineStr">
        <is>
          <t>Medium</t>
        </is>
      </c>
      <c r="G16" s="18" t="inlineStr">
        <is>
          <t>P3</t>
        </is>
      </c>
      <c r="H16" s="18" t="inlineStr">
        <is>
          <t>1. Take screenshot of first product card
2. Diff against standard_user card baseline</t>
        </is>
      </c>
      <c r="I16" s="18" t="inlineStr">
        <is>
          <t>Pixel diff reveals layout bug in card (e.g. button position, image alignment)</t>
        </is>
      </c>
      <c r="J16" s="18" t="inlineStr">
        <is>
          <t>No baseline snapshot PNG exists — run: npx playwright test --update-snapshots</t>
        </is>
      </c>
      <c r="K16" s="21" t="inlineStr">
        <is>
          <t>Blocked</t>
        </is>
      </c>
      <c r="L16" s="18" t="n"/>
    </row>
    <row r="17" ht="34.5" customHeight="1" s="12">
      <c r="A17" s="18" t="inlineStr">
        <is>
          <t>TC_PERS_016</t>
        </is>
      </c>
      <c r="B17" s="18" t="inlineStr">
        <is>
          <t>User Personas</t>
        </is>
      </c>
      <c r="C17" s="18" t="inlineStr">
        <is>
          <t>Negative</t>
        </is>
      </c>
      <c r="D17" s="18" t="inlineStr">
        <is>
          <t>visual_user: cart page layout has visual defects</t>
        </is>
      </c>
      <c r="E17" s="18" t="inlineStr">
        <is>
          <t>visual_user has item in cart and is on cart page; baseline exists</t>
        </is>
      </c>
      <c r="F17" s="18" t="inlineStr">
        <is>
          <t>Medium</t>
        </is>
      </c>
      <c r="G17" s="18" t="inlineStr">
        <is>
          <t>P3</t>
        </is>
      </c>
      <c r="H17" s="18" t="inlineStr">
        <is>
          <t>1. Add product to cart
2. Go to Cart page
3. Screenshot and diff</t>
        </is>
      </c>
      <c r="I17" s="18" t="inlineStr">
        <is>
          <t>Pixel diff reveals layout regression on cart page</t>
        </is>
      </c>
      <c r="J17" s="18" t="inlineStr">
        <is>
          <t>No baseline snapshot PNG exists — run: npx playwright test --update-snapshots</t>
        </is>
      </c>
      <c r="K17" s="21" t="inlineStr">
        <is>
          <t>Blocked</t>
        </is>
      </c>
      <c r="L17" s="18" t="n"/>
    </row>
  </sheetData>
  <dataValidations count="4">
    <dataValidation sqref="F2:F17" showDropDown="0" showInputMessage="0" showErrorMessage="0" allowBlank="0" type="list" errorStyle="stop" operator="between">
      <formula1>"Critical,High,Medium,Low"</formula1>
      <formula2>0</formula2>
    </dataValidation>
    <dataValidation sqref="G2:G17" showDropDown="0" showInputMessage="0" showErrorMessage="0" allowBlank="0" type="list" errorStyle="stop" operator="between">
      <formula1>"P1,P2,P3,P4"</formula1>
      <formula2>0</formula2>
    </dataValidation>
    <dataValidation sqref="C2:C17" showDropDown="0" showInputMessage="0" showErrorMessage="0" allowBlank="0" type="list" errorStyle="stop" operator="between">
      <formula1>"Positive,Negative,End-to-End"</formula1>
      <formula2>0</formula2>
    </dataValidation>
    <dataValidation sqref="K2:K17" showDropDown="0" showInputMessage="0" showErrorMessage="0" allowBlank="0" type="list" errorStyle="stop" operator="between">
      <formula1>"Not Tested,Pass,Fail,Blocked"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2026-06-30T17:55:46Z</dcterms:created>
  <dcterms:modified xmlns:dcterms="http://purl.org/dc/terms/" xmlns:xsi="http://www.w3.org/2001/XMLSchema-instance" xsi:type="dcterms:W3CDTF">2026-07-01T08:21:38Z</dcterms:modified>
  <cp:revision>0</cp:revision>
</cp:coreProperties>
</file>